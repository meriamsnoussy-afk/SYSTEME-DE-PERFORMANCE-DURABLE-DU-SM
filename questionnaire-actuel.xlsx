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meriam\PFE MERIAM DICAMP M2\WORK\PFE\AUDIT\FR\"/>
    </mc:Choice>
  </mc:AlternateContent>
  <xr:revisionPtr revIDLastSave="0" documentId="13_ncr:1_{3DA7A19B-845F-48D1-A304-7576CEE85D9F}" xr6:coauthVersionLast="36" xr6:coauthVersionMax="36" xr10:uidLastSave="{00000000-0000-0000-0000-000000000000}"/>
  <bookViews>
    <workbookView xWindow="0" yWindow="0" windowWidth="20775" windowHeight="8400" xr2:uid="{00000000-000D-0000-FFFF-FFFF00000000}"/>
  </bookViews>
  <sheets>
    <sheet name="Plan" sheetId="4" r:id="rId1"/>
    <sheet name="AUDIT  - ISO 9001" sheetId="3" r:id="rId2"/>
    <sheet name="Limites du SM" sheetId="9" r:id="rId3"/>
    <sheet name="AUDIT - ISO56001" sheetId="7" r:id="rId4"/>
  </sheets>
  <definedNames>
    <definedName name="_xlnm._FilterDatabase" localSheetId="2" hidden="1">'Limites du SM'!$B$33:$K$33</definedName>
  </definedNames>
  <calcPr calcId="191029"/>
</workbook>
</file>

<file path=xl/calcChain.xml><?xml version="1.0" encoding="utf-8"?>
<calcChain xmlns="http://schemas.openxmlformats.org/spreadsheetml/2006/main">
  <c r="H400" i="3" l="1"/>
  <c r="H399" i="3"/>
  <c r="H398" i="3"/>
  <c r="H397" i="3"/>
  <c r="G400" i="3"/>
  <c r="G399" i="3"/>
  <c r="G398" i="3"/>
  <c r="G397" i="3"/>
  <c r="H393" i="3"/>
  <c r="H392" i="3"/>
  <c r="H391" i="3"/>
  <c r="H390" i="3"/>
  <c r="G393" i="3"/>
  <c r="G392" i="3"/>
  <c r="G391" i="3"/>
  <c r="G390" i="3"/>
  <c r="H386" i="3"/>
  <c r="H385" i="3"/>
  <c r="H384" i="3"/>
  <c r="G386" i="3"/>
  <c r="G385" i="3"/>
  <c r="G384" i="3"/>
  <c r="H378" i="3"/>
  <c r="H377" i="3"/>
  <c r="G378" i="3"/>
  <c r="G377" i="3"/>
  <c r="H370" i="3"/>
  <c r="H369" i="3"/>
  <c r="H368" i="3"/>
  <c r="G370" i="3"/>
  <c r="G369" i="3"/>
  <c r="G368" i="3"/>
  <c r="H364" i="3"/>
  <c r="H363" i="3"/>
  <c r="H362" i="3"/>
  <c r="H361" i="3"/>
  <c r="H360" i="3"/>
  <c r="G364" i="3"/>
  <c r="G363" i="3"/>
  <c r="G362" i="3"/>
  <c r="G361" i="3"/>
  <c r="G360" i="3"/>
  <c r="H356" i="3"/>
  <c r="H355" i="3"/>
  <c r="G356" i="3"/>
  <c r="G355" i="3"/>
  <c r="H349" i="3"/>
  <c r="H348" i="3"/>
  <c r="H347" i="3"/>
  <c r="G349" i="3"/>
  <c r="G348" i="3"/>
  <c r="G347" i="3"/>
  <c r="H343" i="3"/>
  <c r="H342" i="3"/>
  <c r="H341" i="3"/>
  <c r="H340" i="3"/>
  <c r="G343" i="3"/>
  <c r="G342" i="3"/>
  <c r="G341" i="3"/>
  <c r="G340" i="3"/>
  <c r="H334" i="3"/>
  <c r="H333" i="3"/>
  <c r="H332" i="3"/>
  <c r="H331" i="3"/>
  <c r="G334" i="3"/>
  <c r="G333" i="3"/>
  <c r="G332" i="3"/>
  <c r="G331" i="3"/>
  <c r="H327" i="3"/>
  <c r="H326" i="3"/>
  <c r="H325" i="3"/>
  <c r="H324" i="3"/>
  <c r="G327" i="3"/>
  <c r="G326" i="3"/>
  <c r="G325" i="3"/>
  <c r="G324" i="3"/>
  <c r="H320" i="3"/>
  <c r="H319" i="3"/>
  <c r="H318" i="3"/>
  <c r="H317" i="3"/>
  <c r="G320" i="3"/>
  <c r="G319" i="3"/>
  <c r="G318" i="3"/>
  <c r="G317" i="3"/>
  <c r="H309" i="3"/>
  <c r="H308" i="3"/>
  <c r="H307" i="3"/>
  <c r="G309" i="3"/>
  <c r="G308" i="3"/>
  <c r="G307" i="3"/>
  <c r="H303" i="3"/>
  <c r="H302" i="3"/>
  <c r="G303" i="3"/>
  <c r="G302" i="3"/>
  <c r="H298" i="3"/>
  <c r="G298" i="3"/>
  <c r="H294" i="3"/>
  <c r="H293" i="3"/>
  <c r="G294" i="3"/>
  <c r="G293" i="3"/>
  <c r="H289" i="3"/>
  <c r="H288" i="3"/>
  <c r="G289" i="3"/>
  <c r="G288" i="3"/>
  <c r="H284" i="3"/>
  <c r="H283" i="3"/>
  <c r="G284" i="3"/>
  <c r="G283" i="3"/>
  <c r="H279" i="3"/>
  <c r="H278" i="3"/>
  <c r="G279" i="3"/>
  <c r="G278" i="3"/>
  <c r="H272" i="3"/>
  <c r="H271" i="3"/>
  <c r="H270" i="3"/>
  <c r="H269" i="3"/>
  <c r="G272" i="3"/>
  <c r="G271" i="3"/>
  <c r="G270" i="3"/>
  <c r="G269" i="3"/>
  <c r="H265" i="3"/>
  <c r="H264" i="3"/>
  <c r="H263" i="3"/>
  <c r="G265" i="3"/>
  <c r="G264" i="3"/>
  <c r="G263" i="3"/>
  <c r="H259" i="3"/>
  <c r="H258" i="3"/>
  <c r="H257" i="3"/>
  <c r="G259" i="3"/>
  <c r="G258" i="3"/>
  <c r="G257" i="3"/>
  <c r="H253" i="3"/>
  <c r="H252" i="3"/>
  <c r="H251" i="3"/>
  <c r="G253" i="3"/>
  <c r="G252" i="3"/>
  <c r="G251" i="3"/>
  <c r="H247" i="3"/>
  <c r="H246" i="3"/>
  <c r="H245" i="3"/>
  <c r="G247" i="3"/>
  <c r="G246" i="3"/>
  <c r="G245" i="3"/>
  <c r="H241" i="3"/>
  <c r="H240" i="3"/>
  <c r="H239" i="3"/>
  <c r="G241" i="3"/>
  <c r="G240" i="3"/>
  <c r="G239" i="3"/>
  <c r="H235" i="3"/>
  <c r="H234" i="3"/>
  <c r="G235" i="3"/>
  <c r="G234" i="3"/>
  <c r="H228" i="3"/>
  <c r="H227" i="3"/>
  <c r="H226" i="3"/>
  <c r="H225" i="3"/>
  <c r="H221" i="3"/>
  <c r="H220" i="3"/>
  <c r="H219" i="3"/>
  <c r="H218" i="3"/>
  <c r="H214" i="3"/>
  <c r="H213" i="3"/>
  <c r="H212" i="3"/>
  <c r="G228" i="3"/>
  <c r="G227" i="3"/>
  <c r="G226" i="3"/>
  <c r="G225" i="3"/>
  <c r="G221" i="3"/>
  <c r="G220" i="3"/>
  <c r="G219" i="3"/>
  <c r="G218" i="3"/>
  <c r="G214" i="3"/>
  <c r="G213" i="3"/>
  <c r="G212" i="3"/>
  <c r="H200" i="3"/>
  <c r="H199" i="3"/>
  <c r="H198" i="3"/>
  <c r="H197" i="3"/>
  <c r="H196" i="3"/>
  <c r="H195" i="3"/>
  <c r="G200" i="3"/>
  <c r="G199" i="3"/>
  <c r="G198" i="3"/>
  <c r="G197" i="3"/>
  <c r="G196" i="3"/>
  <c r="G195" i="3"/>
  <c r="H187" i="3" l="1"/>
  <c r="H186" i="3"/>
  <c r="H185" i="3"/>
  <c r="G187" i="3"/>
  <c r="G186" i="3"/>
  <c r="G185" i="3"/>
  <c r="H181" i="3"/>
  <c r="H180" i="3"/>
  <c r="H179" i="3"/>
  <c r="G181" i="3"/>
  <c r="G180" i="3"/>
  <c r="G179" i="3"/>
  <c r="H175" i="3"/>
  <c r="H174" i="3"/>
  <c r="H173" i="3"/>
  <c r="G175" i="3"/>
  <c r="G174" i="3"/>
  <c r="G173" i="3"/>
  <c r="H169" i="3"/>
  <c r="G169" i="3"/>
  <c r="H168" i="3"/>
  <c r="G168" i="3"/>
  <c r="H167" i="3"/>
  <c r="G167" i="3"/>
  <c r="H166" i="3"/>
  <c r="G166" i="3"/>
  <c r="H162" i="3"/>
  <c r="H161" i="3"/>
  <c r="G162" i="3"/>
  <c r="G161" i="3"/>
  <c r="H157" i="3"/>
  <c r="H156" i="3"/>
  <c r="G157" i="3"/>
  <c r="G156" i="3"/>
  <c r="H152" i="3"/>
  <c r="H151" i="3"/>
  <c r="G152" i="3"/>
  <c r="G151" i="3"/>
  <c r="H147" i="3"/>
  <c r="H146" i="3"/>
  <c r="H145" i="3"/>
  <c r="G147" i="3"/>
  <c r="G146" i="3"/>
  <c r="G145" i="3"/>
  <c r="H140" i="3"/>
  <c r="H139" i="3"/>
  <c r="H138" i="3"/>
  <c r="G140" i="3"/>
  <c r="G139" i="3"/>
  <c r="G138" i="3"/>
  <c r="H134" i="3" l="1"/>
  <c r="H133" i="3"/>
  <c r="G134" i="3"/>
  <c r="G133" i="3"/>
  <c r="H124" i="3"/>
  <c r="H123" i="3"/>
  <c r="H122" i="3"/>
  <c r="H121" i="3"/>
  <c r="G124" i="3"/>
  <c r="G123" i="3"/>
  <c r="G122" i="3"/>
  <c r="G121" i="3"/>
  <c r="H115" i="3"/>
  <c r="H114" i="3"/>
  <c r="H113" i="3"/>
  <c r="H112" i="3"/>
  <c r="H111" i="3"/>
  <c r="H110" i="3"/>
  <c r="G115" i="3"/>
  <c r="G114" i="3"/>
  <c r="G113" i="3"/>
  <c r="G112" i="3"/>
  <c r="G111" i="3"/>
  <c r="G110" i="3"/>
  <c r="H99" i="3"/>
  <c r="H98" i="3"/>
  <c r="H97" i="3"/>
  <c r="H96" i="3"/>
  <c r="H95" i="3"/>
  <c r="H94" i="3"/>
  <c r="H93" i="3"/>
  <c r="H92" i="3"/>
  <c r="G99" i="3"/>
  <c r="G98" i="3"/>
  <c r="G97" i="3"/>
  <c r="G96" i="3"/>
  <c r="G95" i="3"/>
  <c r="G94" i="3"/>
  <c r="G93" i="3"/>
  <c r="G92" i="3"/>
  <c r="H83" i="3"/>
  <c r="H82" i="3"/>
  <c r="H81" i="3"/>
  <c r="G83" i="3"/>
  <c r="G82" i="3"/>
  <c r="G81" i="3"/>
  <c r="H77" i="3"/>
  <c r="H76" i="3"/>
  <c r="H75" i="3"/>
  <c r="G77" i="3"/>
  <c r="G76" i="3"/>
  <c r="G75" i="3"/>
  <c r="G70" i="3"/>
  <c r="G69" i="3"/>
  <c r="H70" i="3"/>
  <c r="H69" i="3"/>
  <c r="H68" i="3"/>
  <c r="G68" i="3"/>
  <c r="H63" i="3"/>
  <c r="H62" i="3"/>
  <c r="H61" i="3"/>
  <c r="G63" i="3"/>
  <c r="G62" i="3"/>
  <c r="G61" i="3"/>
  <c r="H52" i="3"/>
  <c r="H51" i="3"/>
  <c r="H50" i="3"/>
  <c r="H49" i="3"/>
  <c r="G52" i="3"/>
  <c r="G51" i="3"/>
  <c r="G50" i="3"/>
  <c r="G49" i="3"/>
  <c r="H45" i="3"/>
  <c r="H44" i="3"/>
  <c r="H43" i="3"/>
  <c r="G45" i="3"/>
  <c r="G44" i="3"/>
  <c r="G43" i="3"/>
  <c r="H38" i="3"/>
  <c r="H37" i="3"/>
  <c r="H36" i="3"/>
  <c r="H35" i="3"/>
  <c r="G38" i="3"/>
  <c r="G37" i="3"/>
  <c r="G36" i="3"/>
  <c r="G35" i="3"/>
  <c r="H30" i="3"/>
  <c r="H29" i="3"/>
  <c r="H28" i="3"/>
  <c r="G30" i="3"/>
  <c r="G29" i="3"/>
  <c r="G28" i="3"/>
  <c r="J110" i="3"/>
  <c r="K110" i="3"/>
  <c r="J111" i="3"/>
  <c r="K111" i="3"/>
  <c r="J112" i="3"/>
  <c r="K112" i="3"/>
  <c r="J113" i="3"/>
  <c r="K113" i="3"/>
  <c r="J114" i="3"/>
  <c r="K114" i="3"/>
  <c r="J115" i="3"/>
  <c r="K115" i="3"/>
  <c r="H27" i="3"/>
  <c r="J28" i="3"/>
  <c r="J29" i="3"/>
  <c r="J30" i="3"/>
  <c r="J35" i="3"/>
  <c r="J36" i="3"/>
  <c r="J37" i="3"/>
  <c r="J38" i="3"/>
  <c r="J43" i="3"/>
  <c r="J44" i="3"/>
  <c r="J45" i="3"/>
  <c r="J49" i="3"/>
  <c r="J50" i="3"/>
  <c r="J51" i="3"/>
  <c r="J52" i="3"/>
  <c r="J61" i="3"/>
  <c r="J62" i="3"/>
  <c r="J63" i="3"/>
  <c r="J68" i="3"/>
  <c r="J69" i="3"/>
  <c r="J70" i="3"/>
  <c r="J75" i="3"/>
  <c r="J76" i="3"/>
  <c r="J77" i="3"/>
  <c r="J81" i="3"/>
  <c r="J82" i="3"/>
  <c r="J83" i="3"/>
  <c r="J92" i="3"/>
  <c r="J93" i="3"/>
  <c r="J94" i="3"/>
  <c r="J95" i="3"/>
  <c r="J96" i="3"/>
  <c r="J97" i="3"/>
  <c r="J98" i="3"/>
  <c r="J99" i="3"/>
  <c r="J121" i="3"/>
  <c r="J122" i="3"/>
  <c r="J123" i="3"/>
  <c r="J124" i="3"/>
  <c r="J133" i="3"/>
  <c r="J134" i="3"/>
  <c r="J138" i="3"/>
  <c r="J139" i="3"/>
  <c r="J140" i="3"/>
  <c r="J145" i="3"/>
  <c r="J146" i="3"/>
  <c r="J147" i="3"/>
  <c r="J151" i="3"/>
  <c r="J152" i="3"/>
  <c r="J156" i="3"/>
  <c r="J157" i="3"/>
  <c r="J161" i="3"/>
  <c r="J162" i="3"/>
  <c r="J166" i="3"/>
  <c r="J167" i="3"/>
  <c r="J168" i="3"/>
  <c r="J169" i="3"/>
  <c r="J173" i="3"/>
  <c r="J174" i="3"/>
  <c r="J175" i="3"/>
  <c r="J179" i="3"/>
  <c r="J180" i="3"/>
  <c r="J181" i="3"/>
  <c r="J185" i="3"/>
  <c r="J186" i="3"/>
  <c r="J187" i="3"/>
  <c r="J195" i="3"/>
  <c r="J196" i="3"/>
  <c r="J197" i="3"/>
  <c r="J198" i="3"/>
  <c r="J199" i="3"/>
  <c r="J200" i="3"/>
  <c r="J212" i="3"/>
  <c r="J213" i="3"/>
  <c r="J214" i="3"/>
  <c r="J218" i="3"/>
  <c r="J219" i="3"/>
  <c r="J220" i="3"/>
  <c r="J221" i="3"/>
  <c r="J225" i="3"/>
  <c r="J226" i="3"/>
  <c r="J227" i="3"/>
  <c r="J228" i="3"/>
  <c r="J234" i="3"/>
  <c r="J235" i="3"/>
  <c r="J239" i="3"/>
  <c r="J240" i="3"/>
  <c r="J241" i="3"/>
  <c r="J245" i="3"/>
  <c r="J246" i="3"/>
  <c r="J247" i="3"/>
  <c r="J251" i="3"/>
  <c r="J252" i="3"/>
  <c r="J253" i="3"/>
  <c r="J257" i="3"/>
  <c r="J258" i="3"/>
  <c r="J259" i="3"/>
  <c r="J263" i="3"/>
  <c r="J264" i="3"/>
  <c r="J265" i="3"/>
  <c r="J269" i="3"/>
  <c r="J270" i="3"/>
  <c r="J271" i="3"/>
  <c r="J272" i="3"/>
  <c r="J278" i="3"/>
  <c r="J279" i="3"/>
  <c r="J283" i="3"/>
  <c r="J284" i="3"/>
  <c r="J288" i="3"/>
  <c r="J289" i="3"/>
  <c r="J293" i="3"/>
  <c r="J294" i="3"/>
  <c r="J298" i="3"/>
  <c r="J302" i="3"/>
  <c r="J303" i="3"/>
  <c r="J307" i="3"/>
  <c r="J308" i="3"/>
  <c r="J309" i="3"/>
  <c r="J317" i="3"/>
  <c r="J318" i="3"/>
  <c r="J319" i="3"/>
  <c r="J320" i="3"/>
  <c r="J324" i="3"/>
  <c r="J325" i="3"/>
  <c r="J326" i="3"/>
  <c r="J327" i="3"/>
  <c r="J331" i="3"/>
  <c r="J332" i="3"/>
  <c r="J333" i="3"/>
  <c r="J334" i="3"/>
  <c r="J340" i="3"/>
  <c r="J341" i="3"/>
  <c r="J342" i="3"/>
  <c r="J343" i="3"/>
  <c r="J347" i="3"/>
  <c r="J348" i="3"/>
  <c r="J349" i="3"/>
  <c r="J355" i="3"/>
  <c r="J356" i="3"/>
  <c r="J360" i="3"/>
  <c r="J361" i="3"/>
  <c r="J362" i="3"/>
  <c r="J363" i="3"/>
  <c r="J364" i="3"/>
  <c r="J368" i="3"/>
  <c r="J369" i="3"/>
  <c r="J370" i="3"/>
  <c r="J377" i="3"/>
  <c r="J378" i="3"/>
  <c r="J384" i="3"/>
  <c r="J385" i="3"/>
  <c r="J386" i="3"/>
  <c r="J390" i="3"/>
  <c r="J391" i="3"/>
  <c r="J392" i="3"/>
  <c r="J393" i="3"/>
  <c r="J397" i="3"/>
  <c r="J398" i="3"/>
  <c r="J399" i="3"/>
  <c r="J400" i="3"/>
  <c r="K28" i="3"/>
  <c r="K29" i="3"/>
  <c r="K30" i="3"/>
  <c r="K35" i="3"/>
  <c r="K36" i="3"/>
  <c r="K37" i="3"/>
  <c r="K38" i="3"/>
  <c r="K43" i="3"/>
  <c r="K44" i="3"/>
  <c r="K45" i="3"/>
  <c r="K49" i="3"/>
  <c r="K50" i="3"/>
  <c r="K51" i="3"/>
  <c r="K52" i="3"/>
  <c r="K61" i="3"/>
  <c r="K62" i="3"/>
  <c r="K63" i="3"/>
  <c r="K68" i="3"/>
  <c r="K69" i="3"/>
  <c r="K70" i="3"/>
  <c r="K75" i="3"/>
  <c r="K76" i="3"/>
  <c r="K77" i="3"/>
  <c r="K81" i="3"/>
  <c r="K82" i="3"/>
  <c r="K83" i="3"/>
  <c r="K92" i="3"/>
  <c r="K93" i="3"/>
  <c r="K94" i="3"/>
  <c r="K95" i="3"/>
  <c r="K96" i="3"/>
  <c r="K97" i="3"/>
  <c r="K98" i="3"/>
  <c r="K99" i="3"/>
  <c r="K121" i="3"/>
  <c r="K122" i="3"/>
  <c r="K123" i="3"/>
  <c r="K124" i="3"/>
  <c r="K133" i="3"/>
  <c r="K134" i="3"/>
  <c r="K138" i="3"/>
  <c r="K139" i="3"/>
  <c r="K140" i="3"/>
  <c r="K145" i="3"/>
  <c r="K146" i="3"/>
  <c r="K147" i="3"/>
  <c r="K151" i="3"/>
  <c r="K152" i="3"/>
  <c r="K156" i="3"/>
  <c r="K157" i="3"/>
  <c r="K161" i="3"/>
  <c r="K162" i="3"/>
  <c r="K166" i="3"/>
  <c r="K167" i="3"/>
  <c r="K168" i="3"/>
  <c r="K169" i="3"/>
  <c r="K173" i="3"/>
  <c r="K174" i="3"/>
  <c r="K175" i="3"/>
  <c r="K179" i="3"/>
  <c r="K180" i="3"/>
  <c r="K181" i="3"/>
  <c r="K185" i="3"/>
  <c r="K186" i="3"/>
  <c r="K187" i="3"/>
  <c r="K195" i="3"/>
  <c r="K196" i="3"/>
  <c r="K197" i="3"/>
  <c r="K198" i="3"/>
  <c r="K199" i="3"/>
  <c r="K200" i="3"/>
  <c r="K212" i="3"/>
  <c r="K213" i="3"/>
  <c r="K214" i="3"/>
  <c r="K218" i="3"/>
  <c r="K219" i="3"/>
  <c r="K220" i="3"/>
  <c r="K221" i="3"/>
  <c r="K225" i="3"/>
  <c r="K226" i="3"/>
  <c r="K227" i="3"/>
  <c r="K228" i="3"/>
  <c r="K234" i="3"/>
  <c r="K235" i="3"/>
  <c r="K239" i="3"/>
  <c r="K240" i="3"/>
  <c r="K241" i="3"/>
  <c r="K245" i="3"/>
  <c r="K246" i="3"/>
  <c r="K247" i="3"/>
  <c r="K251" i="3"/>
  <c r="K252" i="3"/>
  <c r="K253" i="3"/>
  <c r="K257" i="3"/>
  <c r="K258" i="3"/>
  <c r="K259" i="3"/>
  <c r="K263" i="3"/>
  <c r="K264" i="3"/>
  <c r="K265" i="3"/>
  <c r="K269" i="3"/>
  <c r="K270" i="3"/>
  <c r="K271" i="3"/>
  <c r="K272" i="3"/>
  <c r="K278" i="3"/>
  <c r="K279" i="3"/>
  <c r="K283" i="3"/>
  <c r="K284" i="3"/>
  <c r="K288" i="3"/>
  <c r="K289" i="3"/>
  <c r="K293" i="3"/>
  <c r="K294" i="3"/>
  <c r="K298" i="3"/>
  <c r="K302" i="3"/>
  <c r="K303" i="3"/>
  <c r="K307" i="3"/>
  <c r="K308" i="3"/>
  <c r="K309" i="3"/>
  <c r="K317" i="3"/>
  <c r="K318" i="3"/>
  <c r="K319" i="3"/>
  <c r="K320" i="3"/>
  <c r="K324" i="3"/>
  <c r="K325" i="3"/>
  <c r="K326" i="3"/>
  <c r="K327" i="3"/>
  <c r="K331" i="3"/>
  <c r="K332" i="3"/>
  <c r="K333" i="3"/>
  <c r="K334" i="3"/>
  <c r="K340" i="3"/>
  <c r="K341" i="3"/>
  <c r="K342" i="3"/>
  <c r="K343" i="3"/>
  <c r="K347" i="3"/>
  <c r="K348" i="3"/>
  <c r="K349" i="3"/>
  <c r="K355" i="3"/>
  <c r="K356" i="3"/>
  <c r="K360" i="3"/>
  <c r="K361" i="3"/>
  <c r="K362" i="3"/>
  <c r="K363" i="3"/>
  <c r="K364" i="3"/>
  <c r="K368" i="3"/>
  <c r="K369" i="3"/>
  <c r="K370" i="3"/>
  <c r="K377" i="3"/>
  <c r="K378" i="3"/>
  <c r="K384" i="3"/>
  <c r="K385" i="3"/>
  <c r="K386" i="3"/>
  <c r="K390" i="3"/>
  <c r="K391" i="3"/>
  <c r="K392" i="3"/>
  <c r="K393" i="3"/>
  <c r="K397" i="3"/>
  <c r="K398" i="3"/>
  <c r="K399" i="3"/>
  <c r="K400" i="3"/>
  <c r="G27" i="3"/>
  <c r="K27" i="3"/>
  <c r="J27" i="3"/>
  <c r="I27" i="3"/>
  <c r="G35" i="9" l="1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34" i="9"/>
</calcChain>
</file>

<file path=xl/sharedStrings.xml><?xml version="1.0" encoding="utf-8"?>
<sst xmlns="http://schemas.openxmlformats.org/spreadsheetml/2006/main" count="3203" uniqueCount="1441">
  <si>
    <t>AUDIT DU SM - ISO 19011</t>
  </si>
  <si>
    <t>1.OBJECTIF DE L'AUDIT</t>
  </si>
  <si>
    <t>2. PRÉPARATION DE L'AUDIT</t>
  </si>
  <si>
    <t>3. DÉFINITION DU PÉRIMÈTRE DE L'AUDIT</t>
  </si>
  <si>
    <t>4. PRINCIPES D'AUDIT À RESPECTER</t>
  </si>
  <si>
    <t>4.1 Intégrité</t>
  </si>
  <si>
    <t>4.2 Présentation fidèle</t>
  </si>
  <si>
    <t>4.3 Confidentialité</t>
  </si>
  <si>
    <t>4.4 Approche basée sur les preuves</t>
  </si>
  <si>
    <t>4.5 Approche basée sur les risques</t>
  </si>
  <si>
    <t>Entretiens - plateforme</t>
  </si>
  <si>
    <t>Observation</t>
  </si>
  <si>
    <t>Revue documentaire</t>
  </si>
  <si>
    <t>Conformité</t>
  </si>
  <si>
    <t>Opportunité d'amélioration</t>
  </si>
  <si>
    <t>Non-conformité mineure</t>
  </si>
  <si>
    <t>Non-conformité majeure</t>
  </si>
  <si>
    <t>2. Objectifs de l'audit</t>
  </si>
  <si>
    <t>3. Périmètre</t>
  </si>
  <si>
    <t>4. Critères d'audit</t>
  </si>
  <si>
    <t>5. Méthodologie utilisée</t>
  </si>
  <si>
    <t>7. Conclusion générale</t>
  </si>
  <si>
    <t>in</t>
  </si>
  <si>
    <t>1.1</t>
  </si>
  <si>
    <t xml:space="preserve">Vérifier la conformité - ISO 9001 </t>
  </si>
  <si>
    <t xml:space="preserve">Questionnement de conformité par clause </t>
  </si>
  <si>
    <t>1.2</t>
  </si>
  <si>
    <t xml:space="preserve">Vérifier la conformité - ISO 56001 </t>
  </si>
  <si>
    <t>1.3</t>
  </si>
  <si>
    <t>Questionnement sur l'efficacité</t>
  </si>
  <si>
    <t>out</t>
  </si>
  <si>
    <t>Défaillances organisationnelles</t>
  </si>
  <si>
    <t>Défaillances documentaires</t>
  </si>
  <si>
    <t>Défaillances opérationnelles</t>
  </si>
  <si>
    <t>Défaillances managériales</t>
  </si>
  <si>
    <t>AUDIT ISO 9001:2015</t>
  </si>
  <si>
    <t>CHAPITRE 4 — CONTEXTE DE L’ORGANISME</t>
  </si>
  <si>
    <t>Clause 4.1 — Compréhension de l’organisme et de son contexte</t>
  </si>
  <si>
    <t>Question d’audit</t>
  </si>
  <si>
    <t>Responsable</t>
  </si>
  <si>
    <t>Test NC ( oui / non)</t>
  </si>
  <si>
    <t>Action corrective</t>
  </si>
  <si>
    <t>Responsable action</t>
  </si>
  <si>
    <t>Délai</t>
  </si>
  <si>
    <t>Statut</t>
  </si>
  <si>
    <t>L’entreprise a-t-elle identifié ses enjeux internes et externes pouvant influencer la qualité des études ?</t>
  </si>
  <si>
    <t>Direction</t>
  </si>
  <si>
    <t>Une analyse des enjeux internes et externes existe : marché, clients, concurrence, compétences, réglementation, technologies.</t>
  </si>
  <si>
    <t>Direction Générale / Responsable Innovation</t>
  </si>
  <si>
    <t>Les enjeux sont-ils revus périodiquement ?</t>
  </si>
  <si>
    <t>Direction / Responsable qualité</t>
  </si>
  <si>
    <t>Les évolutions sont surveillées et mises à jour.</t>
  </si>
  <si>
    <t>Analyse ancienne non revue.</t>
  </si>
  <si>
    <t>Responsable Qualité</t>
  </si>
  <si>
    <t>Les risques liés aux changements du secteur ingénierie sont-ils identifiés ?</t>
  </si>
  <si>
    <t>Direction technique</t>
  </si>
  <si>
    <t>Risques identifiés : évolution normes, logiciels, compétences.</t>
  </si>
  <si>
    <t>Manque  d'anticipation des évolutions.</t>
  </si>
  <si>
    <t>Directeur Technique</t>
  </si>
  <si>
    <t>Les orientations stratégiques sont-elles cohérentes avec le SMQ ?</t>
  </si>
  <si>
    <t>Objectifs qualité liés à la stratégie.</t>
  </si>
  <si>
    <t>La qualité fonctionne séparément de la stratégie.</t>
  </si>
  <si>
    <t>Direction Générale</t>
  </si>
  <si>
    <r>
      <rPr>
        <b/>
        <sz val="11"/>
        <color theme="1"/>
        <rFont val="Times New Roman"/>
        <family val="1"/>
      </rPr>
      <t>NC typiques ISO :</t>
    </r>
    <r>
      <rPr>
        <sz val="11"/>
        <color theme="1"/>
        <rFont val="Times New Roman"/>
        <family val="1"/>
      </rPr>
      <t xml:space="preserve"> absence de détermination des enjeux, absence de revue du contexte.</t>
    </r>
  </si>
  <si>
    <t>Clause 4.2 — Besoins et attentes des parties intéressées</t>
  </si>
  <si>
    <t>Question</t>
  </si>
  <si>
    <t>Conforme</t>
  </si>
  <si>
    <t>Non conforme</t>
  </si>
  <si>
    <t>Les parties intéressées sont-elles identifiées ?</t>
  </si>
  <si>
    <t>Responsable qualité</t>
  </si>
  <si>
    <t>Clients, autorités, fournisseurs, salariés, partenaires identifiés.</t>
  </si>
  <si>
    <t>Absence d'une ou plusieures partie interessés</t>
  </si>
  <si>
    <t>Responsable Qualité / Responsable Innovation</t>
  </si>
  <si>
    <t>Les exigences clients sont-elles connues ?</t>
  </si>
  <si>
    <t>Chef projet</t>
  </si>
  <si>
    <t>Cahier des charges, contrats, exigences réglementaires disponibles.</t>
  </si>
  <si>
    <t>Études lancées sans exigences formalisées.</t>
  </si>
  <si>
    <t>Chef de Projet</t>
  </si>
  <si>
    <t>Les exigences réglementaires sont-elles suivies ?</t>
  </si>
  <si>
    <t>Responsable technique</t>
  </si>
  <si>
    <t>Veille réglementaire active.</t>
  </si>
  <si>
    <t>Aucune veille normative.</t>
  </si>
  <si>
    <t>Responsable Technique</t>
  </si>
  <si>
    <t>Les besoins des fournisseurs critiques sont-ils connus ?</t>
  </si>
  <si>
    <t>Achats</t>
  </si>
  <si>
    <t>Critères fournisseurs définis.</t>
  </si>
  <si>
    <t>Fournisseurs choisis sans analyse.</t>
  </si>
  <si>
    <t>Responsable Achats</t>
  </si>
  <si>
    <t>La norme demande d’identifier les parties intéressées pertinentes et leurs exigences, puis de les surveiller et revoir.</t>
  </si>
  <si>
    <t>Clause 4.3 — Domaine d’application du SMQ</t>
  </si>
  <si>
    <t>Le domaine du SMQ est-il défini ?</t>
  </si>
  <si>
    <t>Le périmètre couvre les études, conception, revue des etudes et suivi projet.</t>
  </si>
  <si>
    <t>Le périmètre n’est pas défini.</t>
  </si>
  <si>
    <t>Tous les services fournis sont-ils inclus ?</t>
  </si>
  <si>
    <t>Toutes activités influençant le client incluses.</t>
  </si>
  <si>
    <t>Certaines activités critiques exclues.</t>
  </si>
  <si>
    <t>Les exclusions sont-elles justifiées ?</t>
  </si>
  <si>
    <t>Direction qualité</t>
  </si>
  <si>
    <t>Justification documentée.</t>
  </si>
  <si>
    <t>Exclusion faite sans analyse.</t>
  </si>
  <si>
    <t>Direction Qualité</t>
  </si>
  <si>
    <t>Clause 4.4 — Système de management et processus</t>
  </si>
  <si>
    <t>Les processus sont-ils identifiés ?</t>
  </si>
  <si>
    <t>Cartographie processus disponible.</t>
  </si>
  <si>
    <t>Pas de cartographie.</t>
  </si>
  <si>
    <t>Les interactions entre processus sont-elles définies ?</t>
  </si>
  <si>
    <t>Pilotes processus</t>
  </si>
  <si>
    <t>Interactions clairement définies.</t>
  </si>
  <si>
    <t>Chaque service travaille isolément.</t>
  </si>
  <si>
    <t>Pilotes Processus</t>
  </si>
  <si>
    <t>Chaque processus possède-t-il des objectifs ?</t>
  </si>
  <si>
    <t>Indicateurs définis.</t>
  </si>
  <si>
    <t>Manque d'indicateur.</t>
  </si>
  <si>
    <t>Les risques des processus sont-ils analysés ?</t>
  </si>
  <si>
    <t>Risques + actions définis.</t>
  </si>
  <si>
    <t>Aucune analyse risque.</t>
  </si>
  <si>
    <t>L’approche processus exige les entrées, sorties, interactions, surveillance et prise en compte des risques.</t>
  </si>
  <si>
    <t>CHAPITRE 5 — LEADERSHIP</t>
  </si>
  <si>
    <t xml:space="preserve">Clause 5.1— </t>
  </si>
  <si>
    <t>Clause 5.1.1 — Leadership et engagement</t>
  </si>
  <si>
    <t>La direction démontre-t-elle son engagement qualité ?</t>
  </si>
  <si>
    <t>Directeur</t>
  </si>
  <si>
    <t>Participation aux revues, décisions qualité.</t>
  </si>
  <si>
    <t>La qualité est uniquement confiée au responsable qualité.</t>
  </si>
  <si>
    <t>La direction assure-t-elle les ressources nécessaires ?</t>
  </si>
  <si>
    <t>Budget, personnel, outils disponibles.</t>
  </si>
  <si>
    <t>Manque de moyens bloquant les projets.</t>
  </si>
  <si>
    <t>La direction promeut-elle l’amélioration ?</t>
  </si>
  <si>
    <t>Actions d’amélioration suivies.</t>
  </si>
  <si>
    <t>Aucune action d’amélioration.</t>
  </si>
  <si>
    <t>La direction doit démontrer son implication réelle et porter le SMQ.</t>
  </si>
  <si>
    <t>Clause 5.1.2 — Orientation client</t>
  </si>
  <si>
    <t>Les exigences clients sont-elles déterminées avant étude ?</t>
  </si>
  <si>
    <t>Contrat + cahier charges analysés.</t>
  </si>
  <si>
    <t>Étude démarrée sans validation client.</t>
  </si>
  <si>
    <t>Les risques affectant le client sont-ils identifiés ?</t>
  </si>
  <si>
    <t>Risques planning, technique, coût analysés.</t>
  </si>
  <si>
    <t>Aucune analyse risque client.</t>
  </si>
  <si>
    <t>La satisfaction client est-elle mesurée ?</t>
  </si>
  <si>
    <t>Enquêtes, retours, réclamations analysés.</t>
  </si>
  <si>
    <t>Aucun suivi satisfaction.</t>
  </si>
  <si>
    <t>La direction doit assurer la satisfaction client et la maîtrise des risques liés aux services.</t>
  </si>
  <si>
    <t>Clause 5.2 — Politique qualité</t>
  </si>
  <si>
    <t>Une politique qualité existe-t-elle ?</t>
  </si>
  <si>
    <t>Politique documentée.</t>
  </si>
  <si>
    <t>Absence de politique.</t>
  </si>
  <si>
    <t>La politique correspond-elle aux activités ingénierie ?</t>
  </si>
  <si>
    <t>Adaptée aux études et clients.</t>
  </si>
  <si>
    <t>Politique générique copiée.</t>
  </si>
  <si>
    <t>Le personnel connaît-il la politique ?</t>
  </si>
  <si>
    <t>Tous responsables</t>
  </si>
  <si>
    <t>Politique et objectifs associés bien communiqués</t>
  </si>
  <si>
    <t>Politique et objectifs associés mal communiqués</t>
  </si>
  <si>
    <t>Responsable Qualité / RH</t>
  </si>
  <si>
    <t>Clause 5.3 — Rôles, responsabilités et autorités</t>
  </si>
  <si>
    <t>Les responsabilités sont-elles définies ?</t>
  </si>
  <si>
    <t>Direction RH</t>
  </si>
  <si>
    <t>Organigramme + fiches fonctions.</t>
  </si>
  <si>
    <t>Responsabilités floues.</t>
  </si>
  <si>
    <t>Les pilotes processus sont-ils nommés ?</t>
  </si>
  <si>
    <t>Chaque processus a un responsable.</t>
  </si>
  <si>
    <t>Un ou plusieires processus qui possedent pas des pilotes.</t>
  </si>
  <si>
    <t>Les remontées qualité arrivent-elles à la direction ?</t>
  </si>
  <si>
    <t>Reporting périodique.</t>
  </si>
  <si>
    <t>Mauvaise communication.</t>
  </si>
  <si>
    <t>La norme exige que les responsabilités soient attribuées et connues.</t>
  </si>
  <si>
    <t>CHAPITRE 6 : PLANIFICATION DU SMQ</t>
  </si>
  <si>
    <t>(Risques – Opportunités – Objectifs – Changements)</t>
  </si>
  <si>
    <t>Clause 6.1 — Actions face aux risques et opportunités</t>
  </si>
  <si>
    <t>Les risques liés aux activités du bureau d’étude sont-ils identifiés ?</t>
  </si>
  <si>
    <t>Risques identifiés : erreur de conception, retard, mauvaise donnée d’entrée, indisponibilité expert, etc</t>
  </si>
  <si>
    <t>Aucun risque identifié.</t>
  </si>
  <si>
    <t>Les risques sont-ils analysés selon leur impact ?</t>
  </si>
  <si>
    <t>Pilote processus étude</t>
  </si>
  <si>
    <t>Méthode de cotation définie (probabilité/impact).</t>
  </si>
  <si>
    <t>Liste de risques sans analyse.</t>
  </si>
  <si>
    <t>Pilote Processus</t>
  </si>
  <si>
    <t>Les risques liés aux exigences clients sont-ils pris en compte ?</t>
  </si>
  <si>
    <t>Analyse des risques contractuels réalisée.</t>
  </si>
  <si>
    <t>Découverte des contraintes en cours de projet.</t>
  </si>
  <si>
    <t>Les risques techniques sont-ils évalués ?</t>
  </si>
  <si>
    <t>Risques calculs, logiciels, normes, méthodes analysés.</t>
  </si>
  <si>
    <t>Pas d’analyse technique préalable.</t>
  </si>
  <si>
    <t>Les risques liés aux compétences sont-ils évalués ?</t>
  </si>
  <si>
    <t>RH / Direction technique</t>
  </si>
  <si>
    <t>Compétences disponibles vérifiées.</t>
  </si>
  <si>
    <t>Projet accepté sans vérifier les compétences.</t>
  </si>
  <si>
    <t>RH</t>
  </si>
  <si>
    <t>Les opportunités sont-elles identifiées ?</t>
  </si>
  <si>
    <t>Développement nouveaux marchés, nouveaux outils, optimisation.</t>
  </si>
  <si>
    <t>Uniquement gestion des problèmes.</t>
  </si>
  <si>
    <t>Des actions sont-elles définies pour traiter les risques ?</t>
  </si>
  <si>
    <t>Plan d’action avec responsable et délai.</t>
  </si>
  <si>
    <t>Risques enregistrés mais aucune action.</t>
  </si>
  <si>
    <t>L’efficacité des actions est-elle évaluée ?</t>
  </si>
  <si>
    <t>Suivi après action.</t>
  </si>
  <si>
    <t>Manque de vérification.</t>
  </si>
  <si>
    <t>La prise en compte des risques et opportunités est un renforcement majeur de l’ISO 9001:2015.</t>
  </si>
  <si>
    <t>Non-conformités majeures possibles :</t>
  </si>
  <si>
    <t>absence totale d’analyse des risques</t>
  </si>
  <si>
    <t>risques connus mais aucune action</t>
  </si>
  <si>
    <t>actions sans vérification d’efficacité</t>
  </si>
  <si>
    <t>Clause 6.2 — Objectifs qualité et planification</t>
  </si>
  <si>
    <t>Des objectifs qualité existent-ils ?</t>
  </si>
  <si>
    <t>Objectifs définis.</t>
  </si>
  <si>
    <t>Aucun objectif qualité.</t>
  </si>
  <si>
    <t>Les objectifs sont-ils mesurables ?</t>
  </si>
  <si>
    <t>Délais, satisfaction client, erreurs étude, coûts.</t>
  </si>
  <si>
    <t>Objectif vague : "améliorer la qualité"</t>
  </si>
  <si>
    <t>Les objectifs sont-ils liés à la politique qualité ?</t>
  </si>
  <si>
    <t>Cohérence démontrée.</t>
  </si>
  <si>
    <t>Objectifs sans lien stratégie.</t>
  </si>
  <si>
    <t>Les objectifs sont-ils déclinés par processus ?</t>
  </si>
  <si>
    <t>Chaque processus possède ses objectifs.</t>
  </si>
  <si>
    <t>Les objectifs ne sont pas déclinés par processus.</t>
  </si>
  <si>
    <t>Les moyens pour atteindre les objectifs sont-ils définis ?</t>
  </si>
  <si>
    <t>Ressources, actions, responsables, délais définis.</t>
  </si>
  <si>
    <t>Objectif sans planification.</t>
  </si>
  <si>
    <t>Les résultats sont-ils suivis ?</t>
  </si>
  <si>
    <t>Tableau de bord disponible.</t>
  </si>
  <si>
    <t>Pas de suivi.</t>
  </si>
  <si>
    <t>ISO demande que les objectifs précisent actions, ressources, responsables, délais et évaluation des résultats.</t>
  </si>
  <si>
    <t>Clause 6.3 — Planification des modifications</t>
  </si>
  <si>
    <t>Les changements du SMQ sont-ils planifiés ?</t>
  </si>
  <si>
    <t>Plan de changement défini.</t>
  </si>
  <si>
    <t>Modification faite sans analyse.</t>
  </si>
  <si>
    <t>Les conséquences des changements sont-elles étudiées ?</t>
  </si>
  <si>
    <t>Impact sur clients/processus évalué.</t>
  </si>
  <si>
    <t>Modification provoquant des problèmes clients.</t>
  </si>
  <si>
    <t>Nouveaux rôles établis.</t>
  </si>
  <si>
    <t>Personne responsable.</t>
  </si>
  <si>
    <t>Les ressources nécessaires sont-elles prévues ?</t>
  </si>
  <si>
    <t>Budget/personnel prévu.</t>
  </si>
  <si>
    <t>Changement sans moyens.</t>
  </si>
  <si>
    <t>CHAPITRE 7 — SUPPORT</t>
  </si>
  <si>
    <t>Clause 7.1 — Ressources</t>
  </si>
  <si>
    <t>7.1.1 Généralités</t>
  </si>
  <si>
    <t>Les ressources nécessaires au SMQ sont-elles déterminées ?</t>
  </si>
  <si>
    <t>Besoins identifiés.</t>
  </si>
  <si>
    <t>Ressources insuffisantes.</t>
  </si>
  <si>
    <t>Les contraintes internes sont-elles connues ?</t>
  </si>
  <si>
    <t>Capacité charge/projets analysée.</t>
  </si>
  <si>
    <t>Surcharge non maîtrisée.</t>
  </si>
  <si>
    <t>Direction Technique</t>
  </si>
  <si>
    <t>Clause 7.1.2 — Ressources humaines</t>
  </si>
  <si>
    <t>Les effectifs sont-ils suffisants ?</t>
  </si>
  <si>
    <t>Charge compatible avec personnel.</t>
  </si>
  <si>
    <t>Retards dus au manque d'effectif.</t>
  </si>
  <si>
    <t>Les compétences nécessaires sont-elles définies ?</t>
  </si>
  <si>
    <t>Matrice compétences.</t>
  </si>
  <si>
    <t>Aucune définition.</t>
  </si>
  <si>
    <t>RH / Direction Technique</t>
  </si>
  <si>
    <t>Les remplacements sont-ils prévus ?</t>
  </si>
  <si>
    <t>Plan de continuité.</t>
  </si>
  <si>
    <t>Absence d’une personne bloque les études.</t>
  </si>
  <si>
    <t>Clause 7.1.3 — Infrastructure</t>
  </si>
  <si>
    <t>Les logiciels de conception/calcul sont-ils maîtrisés ?</t>
  </si>
  <si>
    <t>Licences valides, logiciels maîtrisés.</t>
  </si>
  <si>
    <t>Logiciels non maitrisés.</t>
  </si>
  <si>
    <t>Le matériel informatique est-il maintenu ?</t>
  </si>
  <si>
    <t>IT</t>
  </si>
  <si>
    <t>Maintenance planifiée.</t>
  </si>
  <si>
    <t>Pannes répétitives.</t>
  </si>
  <si>
    <t>Responsable IT</t>
  </si>
  <si>
    <t>Les données sont-elles sauvegardées ?</t>
  </si>
  <si>
    <t>Sauvegarde périodique.</t>
  </si>
  <si>
    <t>Perte de données possible.</t>
  </si>
  <si>
    <t>Clause 7.1.4 — Environnement de travail</t>
  </si>
  <si>
    <t>Les conditions permettent-elles de réaliser les études correctement ?</t>
  </si>
  <si>
    <t>Bureaux adaptés, conditions favorables.</t>
  </si>
  <si>
    <t>Conditions perturbant la qualité du travail (mauvaise aeration, mauvaise climatisation, etc)</t>
  </si>
  <si>
    <t>La confidentialité des projets est-elle assurée ?</t>
  </si>
  <si>
    <t>Accès contrôlés.</t>
  </si>
  <si>
    <t>Documents clients accessibles à tous.</t>
  </si>
  <si>
    <t>Direction Technique / IT</t>
  </si>
  <si>
    <t>Clause 7.1.5 — Ressources de surveillance et mesure</t>
  </si>
  <si>
    <t>Les outils utilisés pour contrôler les études sont-ils fiables ?</t>
  </si>
  <si>
    <t>Outils validés.</t>
  </si>
  <si>
    <t>Validation/version connue.</t>
  </si>
  <si>
    <t>Pas de contrôle logiciel.</t>
  </si>
  <si>
    <t>Clause 7.1.6 — Connaissances organisationnelles</t>
  </si>
  <si>
    <t>Les connaissances critiques sont-elles conservées ?</t>
  </si>
  <si>
    <t>Capitalisation expérience.</t>
  </si>
  <si>
    <t>Connaissance détenue par une seule personne.</t>
  </si>
  <si>
    <t>Les retours d’expérience sont-ils enregistrés ?</t>
  </si>
  <si>
    <t>REX disponible.</t>
  </si>
  <si>
    <t>Même erreur répétée.</t>
  </si>
  <si>
    <t>Clause 7.2 — Compétences</t>
  </si>
  <si>
    <t>Les compétences nécessaires sont-elles déterminées ?</t>
  </si>
  <si>
    <t>RH + technique</t>
  </si>
  <si>
    <t>Matrice compétence.</t>
  </si>
  <si>
    <t>Aucune analyse.</t>
  </si>
  <si>
    <t>RH + Direction Technique</t>
  </si>
  <si>
    <t>Les personnes sont-elles compétentes avant affectation projet ?</t>
  </si>
  <si>
    <t>Validation compétence.</t>
  </si>
  <si>
    <t>Projet confié sans compétence.</t>
  </si>
  <si>
    <t>Chef Projet</t>
  </si>
  <si>
    <t>Plan formation.</t>
  </si>
  <si>
    <t>Aucune formation.</t>
  </si>
  <si>
    <t>L’efficacité des formations est-elle évaluée ?</t>
  </si>
  <si>
    <t>Évaluation après formation.</t>
  </si>
  <si>
    <t>Formation sans résultat.</t>
  </si>
  <si>
    <t>Clause 7.3 — Sensibilisation</t>
  </si>
  <si>
    <t>Le personnel connaît-il la politique qualité ?</t>
  </si>
  <si>
    <t>Tout personnel</t>
  </si>
  <si>
    <t>Compréhension démontrée.</t>
  </si>
  <si>
    <t>Ignorance politique.</t>
  </si>
  <si>
    <t>Le personnel connaît-il son impact qualité ?</t>
  </si>
  <si>
    <t>Ingénieurs</t>
  </si>
  <si>
    <t>Rôle compris.</t>
  </si>
  <si>
    <t>Les conséquences des non-conformités sont-elles connues ?</t>
  </si>
  <si>
    <t>Sensibilisation faite.</t>
  </si>
  <si>
    <t>Erreurs répétées.</t>
  </si>
  <si>
    <t>Clause 7.4 — Communication</t>
  </si>
  <si>
    <t>Les communications internes sont définies ?</t>
  </si>
  <si>
    <t>Réunions, reporting.</t>
  </si>
  <si>
    <t>Communication informelle uniquement.</t>
  </si>
  <si>
    <t>Les échanges clients sont maîtrisés ?</t>
  </si>
  <si>
    <t>Points de contact définis.</t>
  </si>
  <si>
    <t>Informations contradictoires.</t>
  </si>
  <si>
    <t>Les informations critiques sont tracées ?</t>
  </si>
  <si>
    <t>Compte rendu disponible.</t>
  </si>
  <si>
    <t>Décisions uniquement orales.</t>
  </si>
  <si>
    <t>Clause 7.5 — Informations documentées</t>
  </si>
  <si>
    <t>Les documents qualité sont maîtrisés ?</t>
  </si>
  <si>
    <t>Version, validation, diffusion contrôlées.</t>
  </si>
  <si>
    <t>Documents anciens utilisés.</t>
  </si>
  <si>
    <t>Les modifications documentaires sont tracées ?</t>
  </si>
  <si>
    <t>Qualité</t>
  </si>
  <si>
    <t>Historique disponible.</t>
  </si>
  <si>
    <t>Modification sans contrôle.</t>
  </si>
  <si>
    <t>Les enregistrements sont conservés ?</t>
  </si>
  <si>
    <t>Tous processus</t>
  </si>
  <si>
    <t>Preuves disponibles.</t>
  </si>
  <si>
    <t>Absence de preuve.</t>
  </si>
  <si>
    <t>Tous Processus</t>
  </si>
  <si>
    <t>(Conception – Calcul – Plans – Livrables – Clients  – Sous-traitants)</t>
  </si>
  <si>
    <t>Clause 8.1 — Planification et maîtrise opérationnelle</t>
  </si>
  <si>
    <t>Planning, ressources, livrables, jalons définis.</t>
  </si>
  <si>
    <t>Projet commencé sans planification.</t>
  </si>
  <si>
    <t>Les exigences du client sont-elles intégrées dans la planification ?</t>
  </si>
  <si>
    <t>Cahier des charges analysé avant lancement.</t>
  </si>
  <si>
    <t>Exigences client découvertes pendant l’étude.</t>
  </si>
  <si>
    <t>Chef projet / Client</t>
  </si>
  <si>
    <t>Critères de validation connus.</t>
  </si>
  <si>
    <t>Les ressources nécessaires sont-elles déterminées ?</t>
  </si>
  <si>
    <t>Manque de ressources pendant projet.</t>
  </si>
  <si>
    <t>Les risques projet sont-ils pris en compte ?</t>
  </si>
  <si>
    <t>Risques techniques/planning analysés.</t>
  </si>
  <si>
    <t>Aucune analyse risque projet.</t>
  </si>
  <si>
    <t>Modification enregistrée et évaluée.</t>
  </si>
  <si>
    <t>Modification orale non tracée.</t>
  </si>
  <si>
    <t>Non-conformité typique :</t>
  </si>
  <si>
    <t>Clause 8.2 — Exigences relatives aux produits et services</t>
  </si>
  <si>
    <t>8.2.1 Communication avec le client</t>
  </si>
  <si>
    <t>Les échanges avec le client sont-ils définis ?</t>
  </si>
  <si>
    <t>Responsable commercial / Chef projet</t>
  </si>
  <si>
    <t>Points de contact identifiés.</t>
  </si>
  <si>
    <t>Tout le monde communique avec le client sans règle.</t>
  </si>
  <si>
    <t>Responsable Commercial</t>
  </si>
  <si>
    <t>Les demandes clients sont-elles enregistrées ?</t>
  </si>
  <si>
    <t>Demandes tracées.</t>
  </si>
  <si>
    <t>Instructions uniquement verbales.</t>
  </si>
  <si>
    <t>Les réclamations clients sont-elles traitées ?</t>
  </si>
  <si>
    <t>Processus réclamation existe.</t>
  </si>
  <si>
    <t>Réclamations ignorées.</t>
  </si>
  <si>
    <t>8.2.2 Détermination des exigences</t>
  </si>
  <si>
    <t>Les exigences techniques sont-elles identifiées ?</t>
  </si>
  <si>
    <t>Normes, dimensions, contraintes connues.</t>
  </si>
  <si>
    <t>Étude basée sur hypothèses non validées.</t>
  </si>
  <si>
    <t>Ingénieur Études</t>
  </si>
  <si>
    <t>Les exigences réglementaires sont-elles identifiées ?</t>
  </si>
  <si>
    <t>Normes applicables recensées.</t>
  </si>
  <si>
    <t>Normes non vérifiées.</t>
  </si>
  <si>
    <t>Les exigences non écrites sont-elles prises en compte ?</t>
  </si>
  <si>
    <t>Besoins implicites analysés.</t>
  </si>
  <si>
    <t>Seulement le cahier des charges lu.</t>
  </si>
  <si>
    <t>Les exigences de confidentialité sont-elles définies ?</t>
  </si>
  <si>
    <t>Clauses confidentialité maîtrisées.</t>
  </si>
  <si>
    <t>Plans clients diffusés.</t>
  </si>
  <si>
    <t>Direction / IT</t>
  </si>
  <si>
    <t>8.2.3 Revue des exigences relatives aux produits et services</t>
  </si>
  <si>
    <t>Une revue avant engagement est-elle réalisée ?</t>
  </si>
  <si>
    <t>Contrat vérifié avant acceptation.</t>
  </si>
  <si>
    <t>Projet accepté sans revue.</t>
  </si>
  <si>
    <t>Capacité évaluée.</t>
  </si>
  <si>
    <t>Projet accepté sans compétence disponible.</t>
  </si>
  <si>
    <t>Les écarts entre demande client et capacité interne sont-ils traités ?</t>
  </si>
  <si>
    <t>Décisions tracées.</t>
  </si>
  <si>
    <t>Écart ignoré.</t>
  </si>
  <si>
    <t>Les modifications du contrat sont-elles enregistrées ?</t>
  </si>
  <si>
    <t>Avenants et changements suivis.</t>
  </si>
  <si>
    <t>Modification non documentée.</t>
  </si>
  <si>
    <t>8.3.1 Généralités</t>
  </si>
  <si>
    <t>Étapes : données → étude → vérification → validation.</t>
  </si>
  <si>
    <t>Pas de méthode définie.</t>
  </si>
  <si>
    <t>Pas de planning.</t>
  </si>
  <si>
    <t>Responsables par tâche.</t>
  </si>
  <si>
    <t>Les interfaces entre intervenants sont-elles maîtrisées ?</t>
  </si>
  <si>
    <t>Réunions et échanges formalisés.</t>
  </si>
  <si>
    <t>Informations perdues.</t>
  </si>
  <si>
    <t>Les données d’entrée sont-elles complètes ?</t>
  </si>
  <si>
    <t>Documents client vérifiés.</t>
  </si>
  <si>
    <t>Données manquantes acceptées.</t>
  </si>
  <si>
    <t>Les normes applicables sont-elles identifiées ?</t>
  </si>
  <si>
    <t>Liste normes disponible.</t>
  </si>
  <si>
    <t>Normes choisies au hasard.</t>
  </si>
  <si>
    <t>Ingénieur</t>
  </si>
  <si>
    <t>Retour expérience exploité.</t>
  </si>
  <si>
    <t>Revues documentées.</t>
  </si>
  <si>
    <t>Les vérifications sont-elles effectuées ?</t>
  </si>
  <si>
    <t>Auteur seul valide son travail.</t>
  </si>
  <si>
    <t>Les validations finales sont-elles faites ?</t>
  </si>
  <si>
    <t>Client / Responsable technique</t>
  </si>
  <si>
    <t>Validation avant émission.</t>
  </si>
  <si>
    <t>Livraison sans validation.</t>
  </si>
  <si>
    <t>Les livrables répondent-ils aux exigences ?</t>
  </si>
  <si>
    <t>Plans, rapports conformes.</t>
  </si>
  <si>
    <t>Documents incomplets.</t>
  </si>
  <si>
    <t>Les critères d’acceptation sont-ils respectés ?</t>
  </si>
  <si>
    <t>Contrôle avant envoi.</t>
  </si>
  <si>
    <t>Envoi direct client.</t>
  </si>
  <si>
    <t>Les informations nécessaires à la réalisation sont-elles fournies ?</t>
  </si>
  <si>
    <t>Documents exploitables.</t>
  </si>
  <si>
    <t>Plans inutilisables.</t>
  </si>
  <si>
    <t>Les modifications sont-elles identifiées ?</t>
  </si>
  <si>
    <t>Historique modifications.</t>
  </si>
  <si>
    <t>Modification invisible.</t>
  </si>
  <si>
    <t>L’impact d’une modification est-il analysé ?</t>
  </si>
  <si>
    <t>Modification sans analyse.</t>
  </si>
  <si>
    <t>Les versions des documents sont-elles maîtrisées ?</t>
  </si>
  <si>
    <t>Indice/version contrôlé.</t>
  </si>
  <si>
    <t>Clause 8.4 — Maîtrise des processus, produits et services fournis par des prestataires externes</t>
  </si>
  <si>
    <t>Les fournisseurs critiques sont-ils évalués ?</t>
  </si>
  <si>
    <t>Évaluation périodique.</t>
  </si>
  <si>
    <t>Aucun suivi fournisseur.</t>
  </si>
  <si>
    <t>Les critères de sélection sont-ils définis ?</t>
  </si>
  <si>
    <t>Critères qualité/coût/délai.</t>
  </si>
  <si>
    <t>Choix uniquement prix.</t>
  </si>
  <si>
    <t>Les prestations sous-traitées sont-elles contrôlées ?</t>
  </si>
  <si>
    <t>Vérification avant utilisation.</t>
  </si>
  <si>
    <t>Confiance totale au prestataire.</t>
  </si>
  <si>
    <t>Les exigences sont-elles communiquées au fournisseur ?</t>
  </si>
  <si>
    <t>Commande précise.</t>
  </si>
  <si>
    <t>Commande vague.</t>
  </si>
  <si>
    <t>8.5.1 Maîtrise de réalisation</t>
  </si>
  <si>
    <t>Les méthodes de travail sont-elles définies ?</t>
  </si>
  <si>
    <t>Instructions disponibles.</t>
  </si>
  <si>
    <t>Travail selon habitudes personnelles.</t>
  </si>
  <si>
    <t>Les documents applicables sont-ils disponibles ?</t>
  </si>
  <si>
    <t>Dernières versions utilisées.</t>
  </si>
  <si>
    <t>Documents obsolètes.</t>
  </si>
  <si>
    <t>8.5.2 Identification et traçabilité</t>
  </si>
  <si>
    <t>Référence projet unique.</t>
  </si>
  <si>
    <t>Documents mélangés.</t>
  </si>
  <si>
    <t>Les versions sont-elles tracées ?</t>
  </si>
  <si>
    <t>Historique conservé.</t>
  </si>
  <si>
    <t>Impossible de retrouver version.</t>
  </si>
  <si>
    <t>8.5.3 Propriété du client</t>
  </si>
  <si>
    <t>Les données client sont-elles protégées ?</t>
  </si>
  <si>
    <t>Direction IT</t>
  </si>
  <si>
    <t>Accès limité.</t>
  </si>
  <si>
    <t>Données accessibles librement.</t>
  </si>
  <si>
    <t>Les documents reçus sont-ils contrôlés ?</t>
  </si>
  <si>
    <t>Archivage maîtrisé.</t>
  </si>
  <si>
    <t>Documents perdus.</t>
  </si>
  <si>
    <t>8.5.4 Préservation</t>
  </si>
  <si>
    <t>Les livrables sont-ils protégés ?</t>
  </si>
  <si>
    <t>Archivage sécurisé.</t>
  </si>
  <si>
    <t>Sauvegardes régulières.</t>
  </si>
  <si>
    <t>Pas de sauvegarde.</t>
  </si>
  <si>
    <t>8.5.6 Maîtrise des modifications</t>
  </si>
  <si>
    <t>Modification validée.</t>
  </si>
  <si>
    <t>Modification sans autorisation.</t>
  </si>
  <si>
    <t>Clause 8.6 — Libération des produits et services</t>
  </si>
  <si>
    <t>Les livrables sont-ils vérifiés avant envoi ?</t>
  </si>
  <si>
    <t>Contrôle final effectué.</t>
  </si>
  <si>
    <t>Envoi sans contrôle.</t>
  </si>
  <si>
    <t>La conformité est-elle prouvée ?</t>
  </si>
  <si>
    <t>PV contrôle disponible.</t>
  </si>
  <si>
    <t>Aucune preuve.</t>
  </si>
  <si>
    <t>Clause 8.7 — Maîtrise des éléments non conformes</t>
  </si>
  <si>
    <t>Enregistrement des NC.</t>
  </si>
  <si>
    <t>Erreurs corrigées sans trace.</t>
  </si>
  <si>
    <t>Les actions après erreur sont-elles définies ?</t>
  </si>
  <si>
    <t>Correction + cause analysée.</t>
  </si>
  <si>
    <t>Simple correction sans analyse.</t>
  </si>
  <si>
    <t>Les clients sont-ils informés si nécessaire ?</t>
  </si>
  <si>
    <t>Communication maîtrisée.</t>
  </si>
  <si>
    <t>Erreur cachée.</t>
  </si>
  <si>
    <t>CHAPITRE 9 : ÉVALUATION DES PERFORMANCES</t>
  </si>
  <si>
    <t>Clause 9.1 — Surveillance, mesure, analyse et évaluation</t>
  </si>
  <si>
    <t>9.1.1 Généralités</t>
  </si>
  <si>
    <t>Conforme attendu</t>
  </si>
  <si>
    <t>Les processus du SMQ sont-ils surveillés ?</t>
  </si>
  <si>
    <t>Indicateurs définis par processus.</t>
  </si>
  <si>
    <t>Aucun suivi processus.</t>
  </si>
  <si>
    <t>Les méthodes de mesure sont-elles définies ?</t>
  </si>
  <si>
    <t>Méthode, fréquence et responsable définis.</t>
  </si>
  <si>
    <t>Mesures faites sans méthode.</t>
  </si>
  <si>
    <t>Les résultats sont-ils analysés ?</t>
  </si>
  <si>
    <t>Analyse des tendances et décisions.</t>
  </si>
  <si>
    <t>Collecte de chiffres sans analyse.</t>
  </si>
  <si>
    <t>Les performances des études sont-elles mesurées ?</t>
  </si>
  <si>
    <t>Délais, erreurs, retours clients suivis.</t>
  </si>
  <si>
    <t>Aucun indicateur technique.</t>
  </si>
  <si>
    <t>9.1.2 Satisfaction client</t>
  </si>
  <si>
    <t>La satisfaction client est-elle évaluée ?</t>
  </si>
  <si>
    <t>Enquêtes, retours, réunions client.</t>
  </si>
  <si>
    <t>Aucune mesure satisfaction.</t>
  </si>
  <si>
    <t>Les réclamations clients sont-elles analysées ?</t>
  </si>
  <si>
    <t>Registre réclamations + actions.</t>
  </si>
  <si>
    <t>Réclamations traitées oralement.</t>
  </si>
  <si>
    <t>Les causes d’insatisfaction sont-elles recherchées ?</t>
  </si>
  <si>
    <t>Analyse cause racine.</t>
  </si>
  <si>
    <t>Simple excuse au client.</t>
  </si>
  <si>
    <t>Les tendances satisfaction sont-elles présentées à la direction ?</t>
  </si>
  <si>
    <t>Tableau de bord.</t>
  </si>
  <si>
    <t>Direction non informée.</t>
  </si>
  <si>
    <t>9.1.3 Analyse et évaluation</t>
  </si>
  <si>
    <t>Les données qualité sont-elles analysées ?</t>
  </si>
  <si>
    <t>Analyse des indicateurs.</t>
  </si>
  <si>
    <t>Données archivées uniquement.</t>
  </si>
  <si>
    <t>Les tendances sont-elles utilisées pour améliorer ?</t>
  </si>
  <si>
    <t>Décisions basées sur données.</t>
  </si>
  <si>
    <t>Décisions uniquement intuitives.</t>
  </si>
  <si>
    <t>Les performances fournisseurs sont-elles analysées ?</t>
  </si>
  <si>
    <t>Les performances projets sont-elles analysées ?</t>
  </si>
  <si>
    <t>Retour expérience.</t>
  </si>
  <si>
    <t>Même problème répété.</t>
  </si>
  <si>
    <t>Clause 9.2 — Audit interne</t>
  </si>
  <si>
    <t>9.2.1 Généralités</t>
  </si>
  <si>
    <t>Un programme d’audit interne existe-t-il ?</t>
  </si>
  <si>
    <t>Tous les processus sont-ils audités ?</t>
  </si>
  <si>
    <t>Les audits sont-ils réalisés par des personnes compétentes ?</t>
  </si>
  <si>
    <t>Les critères d’audit sont-ils définis ?</t>
  </si>
  <si>
    <t>Auditeur interne</t>
  </si>
  <si>
    <t>Auditeur Interne</t>
  </si>
  <si>
    <t>9.2.2 Programme d’audit</t>
  </si>
  <si>
    <t>Les audits tiennent compte des risques ?</t>
  </si>
  <si>
    <t>Les résultats d’audit sont-ils communiqués ?</t>
  </si>
  <si>
    <t>Les actions suite audit sont-elles suivies ?</t>
  </si>
  <si>
    <t>Clause 9.3 — Revue de direction</t>
  </si>
  <si>
    <t>9.3.1 Généralités</t>
  </si>
  <si>
    <t>9.3.2 Éléments d’entrée revue direction</t>
  </si>
  <si>
    <t>9.3.3 Sorties revue direction</t>
  </si>
  <si>
    <t>Réunion sans preuve.</t>
  </si>
  <si>
    <t>Responsables + délais définis.</t>
  </si>
  <si>
    <t>CHAPITRE 10 : AMÉLIORATION</t>
  </si>
  <si>
    <t>Clause 10.1 — Généralités</t>
  </si>
  <si>
    <t>Clause 10.2 — Non-conformité et action corrective</t>
  </si>
  <si>
    <t>Détection des non-conformités</t>
  </si>
  <si>
    <t>Les non-conformités sont-elles enregistrées ?</t>
  </si>
  <si>
    <t>Les NC clients sont-elles enregistrées ?</t>
  </si>
  <si>
    <t>Traitement des NC</t>
  </si>
  <si>
    <t>Pilote processus</t>
  </si>
  <si>
    <t>Méthode 5 pourquoi, Ishikawa…</t>
  </si>
  <si>
    <t>Impact analysé.</t>
  </si>
  <si>
    <t>Clause 10.3 — Amélioration continue</t>
  </si>
  <si>
    <t>Les bonnes pratiques sont-elles diffusées ?</t>
  </si>
  <si>
    <t>Type preuve</t>
  </si>
  <si>
    <t>Exemples</t>
  </si>
  <si>
    <t>Document</t>
  </si>
  <si>
    <t>Procédures, instructions, contrats</t>
  </si>
  <si>
    <t>Enregistrement</t>
  </si>
  <si>
    <t>PV, rapports, fiches NC</t>
  </si>
  <si>
    <t>Entretien</t>
  </si>
  <si>
    <t>Réponses personnel</t>
  </si>
  <si>
    <t>Terrain</t>
  </si>
  <si>
    <t>Audit ISO 56001</t>
  </si>
  <si>
    <t>CHAPITRE 4 — CONTEXTE DE L'ORGANISATION ET DE L'INNOVATION</t>
  </si>
  <si>
    <t>Clause 4.1 Compréhension de l'organisation et de son contexte d'innovation</t>
  </si>
  <si>
    <t>Question d'audit</t>
  </si>
  <si>
    <t>Les enjeux influençant l'innovation sont-ils identifiés ?</t>
  </si>
  <si>
    <t>Analyse des tendances technologiques, marché, réglementation, concurrence documentée et revue périodiquement.</t>
  </si>
  <si>
    <t>Aucun diagnostic innovation.</t>
  </si>
  <si>
    <t>L'entreprise ne dispose pas d'une analyse formalisée des facteurs internes et externes influençant sa capacité d'innover. Les décisions sont prises de manière réactive.</t>
  </si>
  <si>
    <t>Réaliser une analyse stratégique de l'environnement d'innovation (PESTEL, SWOT Innovation, benchmark technologique) et intégrer une revue annuelle dans le SMI.</t>
  </si>
  <si>
    <t>3 mois</t>
  </si>
  <si>
    <t>Ouvert</t>
  </si>
  <si>
    <t>Les opportunités d'innovation sont-elles analysées ?</t>
  </si>
  <si>
    <t>Responsable Innovation</t>
  </si>
  <si>
    <t>Cartographie des opportunités disponible et mise à jour.</t>
  </si>
  <si>
    <t>Opportunités non identifiées.</t>
  </si>
  <si>
    <t>Aucune méthode structurée ne permet d'identifier ou de prioriser les opportunités d'innovation provenant des clients, du marché ou des collaborateurs.</t>
  </si>
  <si>
    <t>Mettre en place un processus de détection et d'évaluation des opportunités avec une matrice de priorisation et un registre des opportunités.</t>
  </si>
  <si>
    <t>2 mois</t>
  </si>
  <si>
    <t>Les évolutions technologiques du secteur sont-elles surveillées ?</t>
  </si>
  <si>
    <t>Veille technologique organisée avec sources identifiées et revues périodiques.</t>
  </si>
  <si>
    <t>Aucune veille.</t>
  </si>
  <si>
    <t>Aucune activité de veille sur les nouvelles technologies, méthodes BIM, IA, logiciels ou matériaux innovants n'est formalisée.</t>
  </si>
  <si>
    <t>Déployer un processus de veille technologique incluant abonnements, participation à des salons, conférences et désignation d'un responsable de veille.</t>
  </si>
  <si>
    <t>Clause 4.2 Parties intéressées</t>
  </si>
  <si>
    <t>Les besoins futurs des clients sont-ils analysés ?</t>
  </si>
  <si>
    <t>Direction Commerciale / Chef de Projet</t>
  </si>
  <si>
    <t>Les besoins explicites et futurs des clients sont analysés et documentés.</t>
  </si>
  <si>
    <t>Les attentes futures des clients ne sont jamais étudiées.</t>
  </si>
  <si>
    <t>L'entreprise répond uniquement aux demandes actuelles sans anticiper les besoins futurs du marché.</t>
  </si>
  <si>
    <t>Déployer une démarche de collecte de la voix du client (VOC), réaliser des enquêtes prospectives et intégrer ces informations dans la stratégie d'innovation.</t>
  </si>
  <si>
    <t>Direction Commerciale</t>
  </si>
  <si>
    <t>Les attentes des partenaires innovation sont-elles identifiées ?</t>
  </si>
  <si>
    <t>Les attentes des partenaires sont recensées et évaluées.</t>
  </si>
  <si>
    <t>Manque d'échange avec les partenaires potentiels.</t>
  </si>
  <si>
    <t>Les partenaires technologiques potentiels ne sont pas identifiés et leurs attentes ne sont pas connues.</t>
  </si>
  <si>
    <t>Identifier les partenaires stratégiques (éditeurs logiciels, industriels, laboratoires) et formaliser leurs attentes dans une cartographie des parties intéressées.</t>
  </si>
  <si>
    <t>Les parties prenantes de l'écosystème innovation sont-elles recensées ?</t>
  </si>
  <si>
    <t>Cartographie complète des parties prenantes.</t>
  </si>
  <si>
    <t>Une ou plusieurs parties prenantes de l'écosystème innovation ne sont pas recensées ?</t>
  </si>
  <si>
    <t>Les universités, clusters, incubateurs, organismes publics et centres techniques, etc ne sont pas intégrés dans l'écosystème d'innovation.</t>
  </si>
  <si>
    <t>Réaliser une cartographie des parties prenantes internes et externes liées à l'innovation et définir leurs besoins.</t>
  </si>
  <si>
    <t>Les universités, centres de recherche et startups sont-ils intégrés dans l'analyse ?</t>
  </si>
  <si>
    <t>Coopérations et partenariats identifiés.</t>
  </si>
  <si>
    <t>Abscence de partenariat externe.</t>
  </si>
  <si>
    <t>Aucun partenariat n'est développé avec les acteurs de l'innovation susceptibles d'apporter des connaissances ou des technologies nouvelles.</t>
  </si>
  <si>
    <t>Élaborer une stratégie de partenariat avec des universités, laboratoires, startups et centres de recherche afin de soutenir les projets innovants.</t>
  </si>
  <si>
    <t>6 mois</t>
  </si>
  <si>
    <t>Clause 4.3 Domaine d'application du SMI</t>
  </si>
  <si>
    <t>Le périmètre du système d'innovation est-il défini ?</t>
  </si>
  <si>
    <t>Le domaine d'application du SMI est documenté et communiqué.</t>
  </si>
  <si>
    <t>Aucun périmètre défini.</t>
  </si>
  <si>
    <t>Le périmètre du SMI n'est pas formalisé, ce qui ne permet pas de déterminer les activités couvertes.</t>
  </si>
  <si>
    <t>Définir et documenter le périmètre du SMI en précisant les activités, sites, processus et parties concernées.</t>
  </si>
  <si>
    <t>1 mois</t>
  </si>
  <si>
    <t>Les activités concernées par l'innovation sont-elles identifiées ?</t>
  </si>
  <si>
    <t>Les processus concernés sont identifiés et cartographiés.</t>
  </si>
  <si>
    <t>Les activités innovantes ne sont pas identifiées.</t>
  </si>
  <si>
    <t>Les projets d'innovation sont conduits de manière ponctuelle sans identification des processus associés.</t>
  </si>
  <si>
    <t>Identifier et cartographier les activités génératrices d'innovation dans l'ensemble du bureau d'études.</t>
  </si>
  <si>
    <t>Les exclusions éventuelles sont justifiées et documentées.</t>
  </si>
  <si>
    <t>Exclusions décidées sans justification.</t>
  </si>
  <si>
    <t>Certaines activités sont exclues du périmètre sans justification documentée conformément aux exigences du SMI.</t>
  </si>
  <si>
    <t>Documenter et justifier toute exclusion du périmètre du SMI après analyse des impacts.</t>
  </si>
  <si>
    <t>Clause 4.4 Système de management de l'innovation</t>
  </si>
  <si>
    <t>Le processus d'innovation est-il défini ?</t>
  </si>
  <si>
    <t>Le processus couvre l'identification des opportunités, la sélection des idées, le développement, la validation et le déploiement.</t>
  </si>
  <si>
    <t>Aucun processus d'innovation formalisé.</t>
  </si>
  <si>
    <t>Les activités d'innovation sont réalisées de manière informelle sans processus documenté ni responsabilités définies.</t>
  </si>
  <si>
    <t>Concevoir et documenter un processus complet de management de l'innovation conforme à l'ISO 56001.</t>
  </si>
  <si>
    <t>Les interactions avec le SMQ sont-elles établies ?</t>
  </si>
  <si>
    <t>Les interfaces entre le SMQ et le SMI sont définies et documentées.</t>
  </si>
  <si>
    <t>Les deux systèmes fonctionnent indépendamment.</t>
  </si>
  <si>
    <t>Les processus qualité et innovation ne sont pas coordonnés, ce qui limite la capitalisation des connaissances et l'amélioration continue.</t>
  </si>
  <si>
    <t>Définir les interactions entre le SMQ ISO 9001 et le SMI ISO 56001 (gestion documentaire, risques, audits, revues, amélioration).</t>
  </si>
  <si>
    <t>Les indicateurs innovation sont-ils définis ?</t>
  </si>
  <si>
    <t>Des KPI innovation sont définis, suivis et analysés.</t>
  </si>
  <si>
    <t>Aucun indicateur innovation.</t>
  </si>
  <si>
    <t>L'entreprise ne mesure pas la performance de son système d'innovation et ne dispose d'aucun tableau de bord.</t>
  </si>
  <si>
    <t>Définir un tableau de bord d'innovation (nombre d'idées, projets innovants, délai de développement, taux de mise en œuvre, valeur créée, ROI innovation, etc.) avec une fréquence de suivi.</t>
  </si>
  <si>
    <t>Clause 5.1 Leadership et engagement</t>
  </si>
  <si>
    <t>La direction démontre-t-elle son engagement envers le système de management de l'innovation ?</t>
  </si>
  <si>
    <t>Participation active au SMI, décisions documentées, implication dans les projets d'innovation</t>
  </si>
  <si>
    <t>L'innovation est uniquement déléguée sans implication de la direction</t>
  </si>
  <si>
    <t>L'innovation est-elle intégrée dans la stratégie globale de l'entreprise ?</t>
  </si>
  <si>
    <t>Les orientations stratégiques intègrent explicitement les objectifs d'innovation</t>
  </si>
  <si>
    <t>La stratégie ne mentionne pas l'innovation</t>
  </si>
  <si>
    <t>Les ressources nécessaires au système d'innovation sont-elles allouées ?</t>
  </si>
  <si>
    <t>Budget, temps, personnel et outils dédiés à l'innovation</t>
  </si>
  <si>
    <t>Aucun budget ni ressources spécifiques</t>
  </si>
  <si>
    <t>La direction favorise-t-elle une culture favorable à l'innovation ?</t>
  </si>
  <si>
    <t>Initiatives encouragées, droit à l'expérimentation, reconnaissance des idées</t>
  </si>
  <si>
    <t>Climat défavorable à l'innovation</t>
  </si>
  <si>
    <t>Les obstacles à l'innovation sont-ils identifiés et supprimés ?</t>
  </si>
  <si>
    <t>Actions engagées pour lever les freins organisationnels</t>
  </si>
  <si>
    <t>Les freins sont connus mais aucune action n'est menée</t>
  </si>
  <si>
    <t>La direction participe-t-elle aux revues du système d'innovation ?</t>
  </si>
  <si>
    <t>Revues périodiques documentées avec décisions</t>
  </si>
  <si>
    <t>Aucune revue du système d'innovation</t>
  </si>
  <si>
    <t>Clause 5.2 Politique Innovation</t>
  </si>
  <si>
    <t>Une politique d'innovation existe-t-elle ?</t>
  </si>
  <si>
    <t>Politique formalisée, approuvée et diffusée</t>
  </si>
  <si>
    <t>Absence de politique innovation</t>
  </si>
  <si>
    <t>La politique soutient-elle la stratégie de l'entreprise ?</t>
  </si>
  <si>
    <t>Politique alignée avec les objectifs stratégiques</t>
  </si>
  <si>
    <t>Politique générique sans lien avec la stratégie</t>
  </si>
  <si>
    <t>La politique favorise-t-elle la création de valeur ?</t>
  </si>
  <si>
    <t>Engagement explicite envers la création de valeur par l'innovation</t>
  </si>
  <si>
    <t>Politique orientée uniquement vers la technologie</t>
  </si>
  <si>
    <t>La politique est-elle comprise par le personnel ?</t>
  </si>
  <si>
    <t>Tous les responsables</t>
  </si>
  <si>
    <t>Personnel capable d'expliquer les orientations innovation</t>
  </si>
  <si>
    <t>Personnel ne connaît pas la politique</t>
  </si>
  <si>
    <t>La politique est-elle revue périodiquement ?</t>
  </si>
  <si>
    <t>Révisions documentées selon l'évolution du contexte</t>
  </si>
  <si>
    <t>Politique non actualisée</t>
  </si>
  <si>
    <t>Clause 5.3 Rôles et responsabilités</t>
  </si>
  <si>
    <t>Les responsabilités liées à l'innovation sont-elles définies ?</t>
  </si>
  <si>
    <t>Organigramme et fiches de fonction précisent les responsabilités</t>
  </si>
  <si>
    <t>Responsabilités non définies</t>
  </si>
  <si>
    <t>Un responsable du système d'innovation est-il désigné ?</t>
  </si>
  <si>
    <t>Responsable officiellement nommé</t>
  </si>
  <si>
    <t>Aucun pilote identifié</t>
  </si>
  <si>
    <t>Les autorités nécessaires sont-elles attribuées ?</t>
  </si>
  <si>
    <t>Pouvoirs décisionnels clairement définis</t>
  </si>
  <si>
    <t>Responsabilités sans autorité</t>
  </si>
  <si>
    <t>Les collaborateurs connaissent-ils leur rôle dans l'innovation ?</t>
  </si>
  <si>
    <t>Managers</t>
  </si>
  <si>
    <t>Les rôles sont compris et appliqués</t>
  </si>
  <si>
    <t>Confusion sur les responsabilités</t>
  </si>
  <si>
    <t>Les interactions entre les fonctions sont-elles organisées ?</t>
  </si>
  <si>
    <t>Coopération entre les services favorisée</t>
  </si>
  <si>
    <t>Travail en silos</t>
  </si>
  <si>
    <t>CHAPITRE 6 — PLANIFICATION</t>
  </si>
  <si>
    <t>Clause 6.1 Risques et opportunités liés à l'innovation</t>
  </si>
  <si>
    <t>Les risques pouvant affecter les projets d'innovation sont-ils identifiés ?</t>
  </si>
  <si>
    <t>Registre des risques innovation documenté</t>
  </si>
  <si>
    <t>Aucun risque identifié</t>
  </si>
  <si>
    <t>Les opportunités d'innovation sont-elles recensées ?</t>
  </si>
  <si>
    <t>Direction Innovation</t>
  </si>
  <si>
    <t>Cartographie des opportunités disponible</t>
  </si>
  <si>
    <t>Opportunités non analysées</t>
  </si>
  <si>
    <t>Une méthode d'évaluation des risques existe-t-elle ?</t>
  </si>
  <si>
    <t>Responsable Qualité / Innovation</t>
  </si>
  <si>
    <t>Critères de probabilité, impact et criticité définis</t>
  </si>
  <si>
    <t>Évaluation subjective</t>
  </si>
  <si>
    <t>Les risques sont-ils hiérarchisés ?</t>
  </si>
  <si>
    <t>Priorisation documentée</t>
  </si>
  <si>
    <t>Tous les risques sont traités de manière identique</t>
  </si>
  <si>
    <t>Les actions de traitement sont-elles planifiées ?</t>
  </si>
  <si>
    <t>Pilotes Innovation</t>
  </si>
  <si>
    <t>Plans d'action avec responsables et échéances</t>
  </si>
  <si>
    <t>Risques identifiés sans actions</t>
  </si>
  <si>
    <t>Les opportunités sont-elles exploitées ?</t>
  </si>
  <si>
    <t>Décisions documentées pour exploiter les opportunités</t>
  </si>
  <si>
    <t>Opportunités ignorées</t>
  </si>
  <si>
    <t>L'efficacité des actions est-elle évaluée ?</t>
  </si>
  <si>
    <t>Vérification documentée de l'efficacité</t>
  </si>
  <si>
    <t>Aucune vérification après action</t>
  </si>
  <si>
    <t>Clause 6.2 Objectifs innovation</t>
  </si>
  <si>
    <t>Des objectifs d'innovation sont-ils définis ?</t>
  </si>
  <si>
    <t>Objectifs documentés et approuvés</t>
  </si>
  <si>
    <t>Aucun objectif innovation</t>
  </si>
  <si>
    <t>Les objectifs sont-ils cohérents avec la politique innovation ?</t>
  </si>
  <si>
    <t>Alignement démontré</t>
  </si>
  <si>
    <t>Aucun lien avec la politique</t>
  </si>
  <si>
    <t>KPI clairement définis</t>
  </si>
  <si>
    <t>Objectifs vagues</t>
  </si>
  <si>
    <t>Les objectifs sont-ils communiqués aux équipes ?</t>
  </si>
  <si>
    <t>Communication démontrée</t>
  </si>
  <si>
    <t>Personnel non informé</t>
  </si>
  <si>
    <t>Les objectifs sont-ils déclinés dans les processus ?</t>
  </si>
  <si>
    <t>Objectifs par processus</t>
  </si>
  <si>
    <t>Objectifs non déclinés par processus</t>
  </si>
  <si>
    <t>Les ressources pour atteindre les objectifs sont-elles définies ?</t>
  </si>
  <si>
    <t>Budget, responsables, délais identifiés etc</t>
  </si>
  <si>
    <t>Aucun plan associé</t>
  </si>
  <si>
    <t>Les résultats sont-ils suivis périodiquement ?</t>
  </si>
  <si>
    <t>Tableau de bord innovation disponible</t>
  </si>
  <si>
    <t>Aucun suivi</t>
  </si>
  <si>
    <t>Exemples d'indicateurs ISO 56001</t>
  </si>
  <si>
    <t>Nombre d'idées déposées par collaborateur.</t>
  </si>
  <si>
    <t>Nombre de projets d'innovation lancés.</t>
  </si>
  <si>
    <t>Taux de transformation idée → projet.</t>
  </si>
  <si>
    <t>Taux de transformation projet → innovation mise sur le marché.</t>
  </si>
  <si>
    <t>Temps moyen de développement d'une innovation.</t>
  </si>
  <si>
    <t>Valeur créée par les innovations.</t>
  </si>
  <si>
    <t>Pourcentage du chiffre d'affaires provenant de nouveaux services.</t>
  </si>
  <si>
    <t>Nombre de brevets ou protections intellectuelles.</t>
  </si>
  <si>
    <t>Nombre de partenariats technologiques.</t>
  </si>
  <si>
    <t>Taux de participation des collaborateurs aux programmes d'innovation.</t>
  </si>
  <si>
    <t>Clause 6.3 Planification des changements</t>
  </si>
  <si>
    <t>Les changements liés aux projets innovants sont-ils planifiés ?</t>
  </si>
  <si>
    <t>Plan de changement documenté</t>
  </si>
  <si>
    <t>Changements improvisés</t>
  </si>
  <si>
    <t>Les impacts des changements sont-ils évalués ?</t>
  </si>
  <si>
    <t>Impacts sur les ressources, risques, clients et parties prenantes évalués</t>
  </si>
  <si>
    <t>Aucune analyse d'impact</t>
  </si>
  <si>
    <t>Les responsabilités sont-elles définies avant le changement ?</t>
  </si>
  <si>
    <t>Responsables identifiés</t>
  </si>
  <si>
    <t>Responsabilités non definies</t>
  </si>
  <si>
    <t>Ressources validées avant mise en œuvre</t>
  </si>
  <si>
    <t>Changement sans moyens</t>
  </si>
  <si>
    <t>Les connaissances impactées sont-elles mises à jour ?</t>
  </si>
  <si>
    <t>Documentation et connaissances actualisées</t>
  </si>
  <si>
    <t>Documents obsolètes</t>
  </si>
  <si>
    <t>Les résultats des changements sont-ils évalués ?</t>
  </si>
  <si>
    <t>Retour d'expérience documenté</t>
  </si>
  <si>
    <t>Aucun bilan réalisé</t>
  </si>
  <si>
    <t>Clause 7.1 Ressources</t>
  </si>
  <si>
    <t>Des ressources sont-elles dédiées à l'innovation ?</t>
  </si>
  <si>
    <t>Un budget innovation existe-t-il ?</t>
  </si>
  <si>
    <t>Les outils nécessaires sont-ils disponibles ?</t>
  </si>
  <si>
    <t>Clause 7.2 Compétences</t>
  </si>
  <si>
    <t>Les compétences innovation sont-elles identifiées ?</t>
  </si>
  <si>
    <t>Les collaborateurs sont-ils formés à l'innovation ?</t>
  </si>
  <si>
    <t>Les compétences futures sont-elles anticipées ?</t>
  </si>
  <si>
    <t>Clause 7.3 Sensibilisation</t>
  </si>
  <si>
    <t>Le personnel connaît-il les objectifs innovation ?</t>
  </si>
  <si>
    <t>Les collaborateurs comprennent-ils leur rôle dans l'innovation ?</t>
  </si>
  <si>
    <t>Clause 7.4 Communication</t>
  </si>
  <si>
    <t>Les idées sont-elles communiquées efficacement ?</t>
  </si>
  <si>
    <t>Les résultats innovation sont-ils diffusés ?</t>
  </si>
  <si>
    <t>Clause 7.5 Informations documentées</t>
  </si>
  <si>
    <t>Les projets innovants sont-ils documentés ?</t>
  </si>
  <si>
    <t>Les connaissances sont-elles conservées ?</t>
  </si>
  <si>
    <t>Les décisions d'innovation sont-elles tracées ?</t>
  </si>
  <si>
    <t>CHAPITRE 8 — ACTIVITÉS OPÉRATIONNELLES D'INNOVATION</t>
  </si>
  <si>
    <t>Clause 8.1 Planification opérationnelle de l'innovation</t>
  </si>
  <si>
    <t>Les étapes sont-elles planifiées ?</t>
  </si>
  <si>
    <t>Les ressources sont-elles affectées ?</t>
  </si>
  <si>
    <t>Clause 8.2 Identification des opportunités</t>
  </si>
  <si>
    <t>Les opportunités sont-elles recherchées de manière structurée ?</t>
  </si>
  <si>
    <t>Les besoins émergents des clients sont-ils analysés ?</t>
  </si>
  <si>
    <t>Les nouvelles technologies sont-elles évaluées ?</t>
  </si>
  <si>
    <t>Clause 8.3 Développement des concepts</t>
  </si>
  <si>
    <t>Les idées sont-elles évaluées ?</t>
  </si>
  <si>
    <t>Les concepts sont-ils étudiés ?</t>
  </si>
  <si>
    <t>Des critères de sélection existent-ils ?</t>
  </si>
  <si>
    <t>Clause 8.4 Validation des concepts</t>
  </si>
  <si>
    <t>Les concepts sont-ils testés ?</t>
  </si>
  <si>
    <t>Des prototypes sont-ils réalisés ?</t>
  </si>
  <si>
    <t>Les utilisateurs participent-ils à la validation ?</t>
  </si>
  <si>
    <t>Clause 8.5 Déploiement des innovations</t>
  </si>
  <si>
    <t>Les innovations validées sont-elles mises en œuvre ?</t>
  </si>
  <si>
    <t>Les résultats sont-ils mesurés ?</t>
  </si>
  <si>
    <t>Les leçons apprises sont-elles capitalisées ?</t>
  </si>
  <si>
    <t>CHAPITRE 9 — ÉVALUATION DES PERFORMANCES</t>
  </si>
  <si>
    <t>Clause 9.1 Surveillance et mesure</t>
  </si>
  <si>
    <t>Les performances innovation sont-elles mesurées ?</t>
  </si>
  <si>
    <t>Des KPI innovation existent-ils ?</t>
  </si>
  <si>
    <t>Le portefeuille d'innovation est-il suivi ?</t>
  </si>
  <si>
    <t>Clause 9.2 Audit interne</t>
  </si>
  <si>
    <t>Le système d'innovation est-il audité ?</t>
  </si>
  <si>
    <t>Les auditeurs sont-ils compétents ?</t>
  </si>
  <si>
    <t>Les actions sont-elles suivies ?</t>
  </si>
  <si>
    <t>Clause 9.3 Revue de direction</t>
  </si>
  <si>
    <t>La direction examine-t-elle les résultats innovation ?</t>
  </si>
  <si>
    <t>Les ressources sont-elles réévaluées ?</t>
  </si>
  <si>
    <t>Les objectifs sont-ils revus ?</t>
  </si>
  <si>
    <t>CHAPITRE 10 — AMÉLIORATION</t>
  </si>
  <si>
    <t>Clause 10.1 Généralités</t>
  </si>
  <si>
    <t>Le système d'innovation est-il amélioré en continu ?</t>
  </si>
  <si>
    <t>Les enseignements sont-ils exploités ?</t>
  </si>
  <si>
    <t>Clause 10.2 Non-conformités et actions correctives</t>
  </si>
  <si>
    <t>Les échecs d'innovation sont-ils analysés ?</t>
  </si>
  <si>
    <t>Les causes sont-elles recherchées ?</t>
  </si>
  <si>
    <t>Les actions correctives sont-elles suivies ?</t>
  </si>
  <si>
    <t>Clause 10.3 Amélioration continue</t>
  </si>
  <si>
    <t>La maturité innovation progresse-t-elle ?</t>
  </si>
  <si>
    <t>La culture innovation se développe-t-elle ?</t>
  </si>
  <si>
    <t>Axe</t>
  </si>
  <si>
    <t>Amélioration continue</t>
  </si>
  <si>
    <t>Base de connaissances</t>
  </si>
  <si>
    <t>Test NC</t>
  </si>
  <si>
    <t>Résultats issus d’outils non validés.</t>
  </si>
  <si>
    <t>Les logiciels utilisés sont-ils vérifiés ?</t>
  </si>
  <si>
    <t>Les formations sont-elles effectuées et suivies ?</t>
  </si>
  <si>
    <t>RH - Directeurs processus</t>
  </si>
  <si>
    <t>La qualité concerne uniquement le responsable qualité.</t>
  </si>
  <si>
    <t>Les activités du bureau d'étude sont-elles planifiées avant démarrage ?</t>
  </si>
  <si>
    <t>Livrable remis sans critère validé.</t>
  </si>
  <si>
    <t>CHAPITRE 8 — RÉALISATION DES ACTIVITÉS DU BUREAU D’ÉTUDE</t>
  </si>
  <si>
    <t>Les critères d'approbation des livrables sont-ils définis ?</t>
  </si>
  <si>
    <t>Ingénieurs, logiciels, moyens, etc, identifiés.</t>
  </si>
  <si>
    <t>Les modifications en cours du projet sont-elles maîtrisées ?</t>
  </si>
  <si>
    <t>Absence de planification projet</t>
  </si>
  <si>
    <t>Absence de preuve de maîtrise opérationnelle</t>
  </si>
  <si>
    <t>Exigences non prises en compte</t>
  </si>
  <si>
    <t>Le bureau d'étude peut-il réaliser ce qui est demandée ?</t>
  </si>
  <si>
    <t>Chaque employé travaille différemment.</t>
  </si>
  <si>
    <t>Un processus de travail existe-t-il ?</t>
  </si>
  <si>
    <t>Processus de travail défini.</t>
  </si>
  <si>
    <t>Les étapes de travail sont-elles définies ?</t>
  </si>
  <si>
    <t>Clause 8.3 — Conception et développement  (Services du bureau d'études)</t>
  </si>
  <si>
    <t>8.3.2 Planification des services</t>
  </si>
  <si>
    <t xml:space="preserve">8.3.3 Éléments d’entrée </t>
  </si>
  <si>
    <t>8.3.4 Maîtrise du service</t>
  </si>
  <si>
    <t>8.3.5 Éléments de sortie de service</t>
  </si>
  <si>
    <t>8.3.6 Modifications du service</t>
  </si>
  <si>
    <t>Les phases du  projet sont-elles planifiées ?</t>
  </si>
  <si>
    <t>Planning disponible.</t>
  </si>
  <si>
    <t>Les projets précédents sont-ils utilisés ?</t>
  </si>
  <si>
    <t>Les revues de prestations sont-elles réalisées ?</t>
  </si>
  <si>
    <t>Manque de revue documentée.</t>
  </si>
  <si>
    <t>Controle par une autre personne.</t>
  </si>
  <si>
    <t>Ancien document utilisé.</t>
  </si>
  <si>
    <t>Les documents de chaque projet sont-elles identifiables ?</t>
  </si>
  <si>
    <t>Perte de document</t>
  </si>
  <si>
    <t>Les fichiers critiques sont-ils sauvegardés ?</t>
  </si>
  <si>
    <t>Les changements du projet sont-ils contrôlés ?</t>
  </si>
  <si>
    <t>Qualité / Chef projet</t>
  </si>
  <si>
    <t>Les erreurs sont-elles identifiées ?</t>
  </si>
  <si>
    <t>Pas de programme d’audit interne</t>
  </si>
  <si>
    <t>ISO 9001 + procédures internes</t>
  </si>
  <si>
    <t>Couverture complète</t>
  </si>
  <si>
    <t>Auditeurs formés et indépendants</t>
  </si>
  <si>
    <t>Planning annuel défini</t>
  </si>
  <si>
    <t>Certains processus non pas audités</t>
  </si>
  <si>
    <t>Chef de service audite son propre travail</t>
  </si>
  <si>
    <t>Audit sans référentiel</t>
  </si>
  <si>
    <t>Processus critiques audités plus souvent</t>
  </si>
  <si>
    <t>Programme identique sans analyse risque</t>
  </si>
  <si>
    <t>Rapport diffusé</t>
  </si>
  <si>
    <t>Rapports non transmis</t>
  </si>
  <si>
    <t>Actions clôturées avec preuve</t>
  </si>
  <si>
    <t>Aucune clôture</t>
  </si>
  <si>
    <t>Aucune revue</t>
  </si>
  <si>
    <t>Réunion planifiée</t>
  </si>
  <si>
    <t>La direction examine-t-elle l’efficacité du SMQ?</t>
  </si>
  <si>
    <t>Une revue de direction est-elle réalisée?</t>
  </si>
  <si>
    <t>Simple réunion administrative</t>
  </si>
  <si>
    <t>Décisions prises sur résultats</t>
  </si>
  <si>
    <t>Les audits internes sont-ils analysés?</t>
  </si>
  <si>
    <t>Résultats examinés</t>
  </si>
  <si>
    <t>Ignorés</t>
  </si>
  <si>
    <t>Les réclamations clients sont-elles examinées?</t>
  </si>
  <si>
    <t>Analyse satisfaction</t>
  </si>
  <si>
    <t>Pas présenté</t>
  </si>
  <si>
    <t>Les performances processus sont-elles étudiées?</t>
  </si>
  <si>
    <t>Tableau de bord présenté</t>
  </si>
  <si>
    <t>Pas d’indicateurs</t>
  </si>
  <si>
    <t>Actualisation risques</t>
  </si>
  <si>
    <t>Analyse non pas revue</t>
  </si>
  <si>
    <t>Les risques et opportunités sont-ils revus?</t>
  </si>
  <si>
    <t>Les ressources sont-elles évaluées?</t>
  </si>
  <si>
    <t>Ressources évaluées</t>
  </si>
  <si>
    <t>Ressources non évaluées</t>
  </si>
  <si>
    <t>Les décisions sont-elles enregistrées?</t>
  </si>
  <si>
    <t>Les actions sont-elles affectées?</t>
  </si>
  <si>
    <t>Décisions générales sans affectation</t>
  </si>
  <si>
    <t>Les besoins d’amélioration sont-ils identifiés?</t>
  </si>
  <si>
    <t>Plan amélioration</t>
  </si>
  <si>
    <t>Aucun plan d'amélioration n'est défini</t>
  </si>
  <si>
    <t>L’entreprise cherche-t-elle à améliorer ses processus?</t>
  </si>
  <si>
    <t>Les opportunités d’amélioration sont-elles identifiées?</t>
  </si>
  <si>
    <t>Plans d’amélioration actifs</t>
  </si>
  <si>
    <t>Actions issues des analyses</t>
  </si>
  <si>
    <t>Problèmes traités au cas par cas</t>
  </si>
  <si>
    <t>Aucune démarche progrès</t>
  </si>
  <si>
    <t>Fiches NC disponibles</t>
  </si>
  <si>
    <t>Erreurs corrigées sans trace</t>
  </si>
  <si>
    <t>Registre réclamation</t>
  </si>
  <si>
    <t>Pas d’enregistrement</t>
  </si>
  <si>
    <t>Les NC internes sont-elles suivies?</t>
  </si>
  <si>
    <t>Suivi jusqu’à clôture</t>
  </si>
  <si>
    <t>NC oubliées</t>
  </si>
  <si>
    <t>Une correction immédiate est-elle réalisée?</t>
  </si>
  <si>
    <t>Action immédiate</t>
  </si>
  <si>
    <t>NC laissée ouverte</t>
  </si>
  <si>
    <t>La cause est-elle recherchée?</t>
  </si>
  <si>
    <t>Correction uniquement</t>
  </si>
  <si>
    <t>L’action corrective élimine-t-elle la cause?</t>
  </si>
  <si>
    <t>Vérification efficacité</t>
  </si>
  <si>
    <t>Même problème revient</t>
  </si>
  <si>
    <t>Les risques liés à la NC sont-ils évalués?</t>
  </si>
  <si>
    <t>Impact analysé</t>
  </si>
  <si>
    <t>Aucune analyse</t>
  </si>
  <si>
    <t>L’efficacité du SMQ est-elle améliorée?</t>
  </si>
  <si>
    <t>Actions progrès suivies</t>
  </si>
  <si>
    <t>SMQ figé</t>
  </si>
  <si>
    <t>Les retours d’expérience sont-ils utilisés?</t>
  </si>
  <si>
    <t>Capitalisation</t>
  </si>
  <si>
    <t>Pas de partage expérience</t>
  </si>
  <si>
    <t>Les bonnes pratiques sont-elles diffusées?</t>
  </si>
  <si>
    <t>Chaque projet recommence à zéro</t>
  </si>
  <si>
    <t>Les performances évoluent-elles positivement?</t>
  </si>
  <si>
    <t>Tendance d’amélioration</t>
  </si>
  <si>
    <t>Dégradation sans action</t>
  </si>
  <si>
    <t>Vérifier l'efficacité et detection des limites d'ISO9001</t>
  </si>
  <si>
    <t>1.4</t>
  </si>
  <si>
    <t>Axe 1 – Création de valeur</t>
  </si>
  <si>
    <t>Axe 2 – Agilité</t>
  </si>
  <si>
    <t>6. Le système permet-il de réagir rapidement aux changements ?</t>
  </si>
  <si>
    <t>7. Les procédures sont-elles faciles à modifier ?</t>
  </si>
  <si>
    <t>8. Les processus sont-ils suffisamment flexibles ?</t>
  </si>
  <si>
    <t>9. Les décisions sont-elles prises rapidement ?</t>
  </si>
  <si>
    <t>Axe 3 – Digitalisation</t>
  </si>
  <si>
    <t>12. Existe-t-il des doubles saisies ?</t>
  </si>
  <si>
    <t>13. Les données sont-elles dispersées dans plusieurs fichiers ?</t>
  </si>
  <si>
    <t>14. Les indicateurs sont-ils calculés automatiquement ?</t>
  </si>
  <si>
    <t>15. Les tableaux de bord sont-ils disponibles en temps réel ?</t>
  </si>
  <si>
    <t>Axe 4 – Exploitation des données</t>
  </si>
  <si>
    <t>17. Les analyses sont-elles principalement réactives ?</t>
  </si>
  <si>
    <t>18. Les tendances sont-elles détectées automatiquement ?</t>
  </si>
  <si>
    <t>19. Les données sont-elles facilement accessibles ?</t>
  </si>
  <si>
    <t>20. Les décisions reposent-elles sur des analyses quantitatives ?</t>
  </si>
  <si>
    <t>Axe 5 – Capitalisation des connaissances</t>
  </si>
  <si>
    <t>21. Les bonnes pratiques sont-elles formalisées ?</t>
  </si>
  <si>
    <t>22. Les connaissances sont-elles facilement partagées ?</t>
  </si>
  <si>
    <t>23. Les retours d'expérience sont-ils systématiquement exploités ?</t>
  </si>
  <si>
    <t>24. Les compétences critiques sont-elles cartographiées ?</t>
  </si>
  <si>
    <t>25. Le départ d'un collaborateur entraîne-t-il une perte importante de connaissances ?</t>
  </si>
  <si>
    <t>Axe 6 – Gestion des risques</t>
  </si>
  <si>
    <t>26. Les risques sont-ils identifiés de manière proactive ?</t>
  </si>
  <si>
    <t>27. Les risques émergents sont-ils surveillés ?</t>
  </si>
  <si>
    <t>28. Les risques sont-ils évalués à partir de données réelles ?</t>
  </si>
  <si>
    <t>29. Les plans d'action sont-ils évalués selon leur efficacité ?</t>
  </si>
  <si>
    <t>30. Les risques sont-ils réévalués automatiquement lorsque le contexte évolue ?</t>
  </si>
  <si>
    <t>Axe 7 – Expérience utilisateur</t>
  </si>
  <si>
    <t>31. Les collaborateurs trouvent-ils les procédures simples ?</t>
  </si>
  <si>
    <t>32. Les documents sont-ils faciles à retrouver ?</t>
  </si>
  <si>
    <t>33. Les formulaires sont-ils trop nombreux ?</t>
  </si>
  <si>
    <t>35. Les utilisateurs proposent-ils régulièrement des améliorations ?</t>
  </si>
  <si>
    <t>Axe 8 – Innovation</t>
  </si>
  <si>
    <t>37. Les innovations sont-elles évaluées de manière structurée ?</t>
  </si>
  <si>
    <t>38. Les nouvelles technologies sont-elles intégrées rapidement ?</t>
  </si>
  <si>
    <t>39. L'entreprise expérimente-t-elle avant de généraliser les changements ?</t>
  </si>
  <si>
    <t>40. Les retours des clients alimentent-ils directement l'innovation ?</t>
  </si>
  <si>
    <t>Axe 9 – Intelligence artificielle et technologies émergentes</t>
  </si>
  <si>
    <t>42. Les non-conformités pourraient-elles être détectées automatiquement ?</t>
  </si>
  <si>
    <t>43. L'analyse documentaire pourrait-elle être assistée par l'IA ?</t>
  </si>
  <si>
    <t>44. Les audits pourraient-ils être partiellement automatisés ?</t>
  </si>
  <si>
    <t>45. Les indicateurs pourraient-ils être produits en temps réel grâce à l'IA ?</t>
  </si>
  <si>
    <t>Impact</t>
  </si>
  <si>
    <t>Cause probable</t>
  </si>
  <si>
    <t>Innovation envisageable</t>
  </si>
  <si>
    <t>Priorité</t>
  </si>
  <si>
    <t>Score</t>
  </si>
  <si>
    <t>Staut</t>
  </si>
  <si>
    <t>FONCTION</t>
  </si>
  <si>
    <t>Objet</t>
  </si>
  <si>
    <t>Reponse</t>
  </si>
  <si>
    <t>Pas du tout - Critique</t>
  </si>
  <si>
    <t>Faiblement - Faiblesse</t>
  </si>
  <si>
    <t>Moyennement - A améliorer</t>
  </si>
  <si>
    <t>Bien - Force</t>
  </si>
  <si>
    <t>Aide à la prise de décision</t>
  </si>
  <si>
    <t>Création de valeur pour le client</t>
  </si>
  <si>
    <t>Orientation performance vs conformité</t>
  </si>
  <si>
    <t>Activités sans valeur ajoutée</t>
  </si>
  <si>
    <t>Réactivité face aux changements</t>
  </si>
  <si>
    <t>Flexibilité des procédures</t>
  </si>
  <si>
    <t>Flexibilité des processus</t>
  </si>
  <si>
    <t>Rapidité de prise de décision</t>
  </si>
  <si>
    <t>Utilisation du papier</t>
  </si>
  <si>
    <t>Doubles saisies</t>
  </si>
  <si>
    <t>Dispersion des données</t>
  </si>
  <si>
    <t>Automatisation des indicateurs</t>
  </si>
  <si>
    <t>Tableaux de bord en temps réel</t>
  </si>
  <si>
    <t>Exploitation préventive des données</t>
  </si>
  <si>
    <t>Analyse réactive des données</t>
  </si>
  <si>
    <t>Détection automatique des tendances</t>
  </si>
  <si>
    <t>Accessibilité des données</t>
  </si>
  <si>
    <t>Décisions basées sur les données</t>
  </si>
  <si>
    <t>Formalisation des bonnes pratiques</t>
  </si>
  <si>
    <t>Partage des connaissances</t>
  </si>
  <si>
    <t>Exploitation des retours d'expérience</t>
  </si>
  <si>
    <t>Cartographie des compétences</t>
  </si>
  <si>
    <t>Perte de connaissances critiques</t>
  </si>
  <si>
    <t>Identification proactive des risques</t>
  </si>
  <si>
    <t>Surveillance des risques émergents</t>
  </si>
  <si>
    <t>Évaluation des risques par les données</t>
  </si>
  <si>
    <t>Évaluation de l'efficacité des actions</t>
  </si>
  <si>
    <t>Réévaluation automatique des risques</t>
  </si>
  <si>
    <t>Simplicité des procédures</t>
  </si>
  <si>
    <t>Accessibilité des documents</t>
  </si>
  <si>
    <t>Complexité des formulaires</t>
  </si>
  <si>
    <t>Participation à l'amélioration</t>
  </si>
  <si>
    <t>Culture de l'innovation</t>
  </si>
  <si>
    <t>Évaluation des innovations</t>
  </si>
  <si>
    <t>Intégration des nouvelles technologies</t>
  </si>
  <si>
    <t>Expérimentation avant déploiement</t>
  </si>
  <si>
    <t>Innovation basée sur les retours clients</t>
  </si>
  <si>
    <t>Détection automatique des non-conformités</t>
  </si>
  <si>
    <t>Assistance IA pour l'analyse documentaire</t>
  </si>
  <si>
    <t>Automatisation des audits</t>
  </si>
  <si>
    <t>Priorité faible</t>
  </si>
  <si>
    <t>Priorité moyenne</t>
  </si>
  <si>
    <t>Priorité élevée</t>
  </si>
  <si>
    <t>Niveaux de priorité:</t>
  </si>
  <si>
    <t>Évaluation de la performance</t>
  </si>
  <si>
    <t>Orientation client</t>
  </si>
  <si>
    <t>Leadership et engagement</t>
  </si>
  <si>
    <t>Planification des changements</t>
  </si>
  <si>
    <t>Information documentée</t>
  </si>
  <si>
    <t>Approche processus</t>
  </si>
  <si>
    <t>Leadership</t>
  </si>
  <si>
    <t>Maîtrise des opérations</t>
  </si>
  <si>
    <t>Support et infrastructure</t>
  </si>
  <si>
    <t>Risque et opportunités</t>
  </si>
  <si>
    <t>Amélioration</t>
  </si>
  <si>
    <t>Support &amp; information</t>
  </si>
  <si>
    <t>Support et compétences</t>
  </si>
  <si>
    <t>Risques et opportunités</t>
  </si>
  <si>
    <t>Leadership &amp; culture</t>
  </si>
  <si>
    <t>Support</t>
  </si>
  <si>
    <t>Transformation digitale</t>
  </si>
  <si>
    <t>Lien avec les normes ISO</t>
  </si>
  <si>
    <t>Echelle d'evaluation de l'efficacité de SM</t>
  </si>
  <si>
    <t>Légende</t>
  </si>
  <si>
    <t>5. TECHNIQUES DE COLLECTE DES PREUVES</t>
  </si>
  <si>
    <t>Responsable technique / Ingénieur responsable</t>
  </si>
  <si>
    <t>Direction
Direction RH
Responsable qualité
Direction technique
Pilotes de processus
IT
Chef projet
Employé</t>
  </si>
  <si>
    <t>Repondeur</t>
  </si>
  <si>
    <t xml:space="preserve">NC </t>
  </si>
  <si>
    <t>C</t>
  </si>
  <si>
    <t>Verifier la conformite par rapport à l'ISO9001</t>
  </si>
  <si>
    <t xml:space="preserve">Cette démarche permet de dépasser la logique de conformité pour évaluer la capacité du SM à soutenir la performance, l'agilité et l'innovation. </t>
  </si>
  <si>
    <t>Limites du SM actuel</t>
  </si>
  <si>
    <t>Où voyez-vous les principales limites du SM actuel ?</t>
  </si>
  <si>
    <t>Contexte de l’organisme &amp; performance du SM</t>
  </si>
  <si>
    <t>Contribution du SM à la performance</t>
  </si>
  <si>
    <t>1. Le SM contribue-t-il réellement à améliorer la performance globale de l'entreprise ?</t>
  </si>
  <si>
    <t>2. Le SM facilite-t-il la prise de décision ?</t>
  </si>
  <si>
    <t>4. Le SM est-il davantage orienté vers la performance que vers la conformité ?</t>
  </si>
  <si>
    <t>Impact du SM sur les délais</t>
  </si>
  <si>
    <t>10. Le SM ralentit-il certaines activités ?</t>
  </si>
  <si>
    <t>Perception du SM par le personnel</t>
  </si>
  <si>
    <t>34. Le personnel perçoit-il le SM comme une aide plutôt qu'une contrainte ?</t>
  </si>
  <si>
    <t>36. Le SM encourage-t-il les idées nouvelles ?</t>
  </si>
  <si>
    <t>Activités  automatisables</t>
  </si>
  <si>
    <t>Quelles activités pourraient disparaître grâce à l'automatisation ?</t>
  </si>
  <si>
    <t>Automatisation des tâches</t>
  </si>
  <si>
    <t>41. Certaines tâches pourraient-elles être automatisées ?</t>
  </si>
  <si>
    <t>Indicateurs en temps réel par IA</t>
  </si>
  <si>
    <t>3. Les processus du SMcréent-ils de la valeur pour les clients ?</t>
  </si>
  <si>
    <t>5. Existe-t-il des activités du SM qui n'apportent plus de valeur ?</t>
  </si>
  <si>
    <t>11. Les informations du SM sont-elles encore principalement gérées sur papier ?</t>
  </si>
  <si>
    <t>16. Les données du SM sont-elles utilisées pour anticiper les problèmes ?</t>
  </si>
  <si>
    <t>NC min</t>
  </si>
  <si>
    <t>NC maj</t>
  </si>
  <si>
    <t>Verifier la conformite par rapport à l'ISO56001</t>
  </si>
  <si>
    <t>Une exigence est dite conforme (C) lorsque toutes les dispositions prévues par le SM sont appliquées correctement, de manière systématique et maîtrisée.</t>
  </si>
  <si>
    <t>Une non-conformité mineure est un écart ponctuel ou limité par rapport à une exigence de norme, sans impact significatif sur la performance globale du SM.</t>
  </si>
  <si>
    <t>Une non-conformité majeure est un écart sérieux ou systémique qui compromet la conformité du SM ou sa capacité à atteindre les objectifs.</t>
  </si>
  <si>
    <t>Action</t>
  </si>
  <si>
    <t>Corriger / améliorer</t>
  </si>
  <si>
    <t>Niveau</t>
  </si>
  <si>
    <t>Sens</t>
  </si>
  <si>
    <t>Definition</t>
  </si>
  <si>
    <t xml:space="preserve">Test NC </t>
  </si>
  <si>
    <t>Questionnaire de détection des limites du SM</t>
  </si>
  <si>
    <t>Objectif : Identifier des limites du SM</t>
  </si>
  <si>
    <t>Proposition</t>
  </si>
  <si>
    <t>PARTIE 1 : Questions ouvertes - qualitatif  ?</t>
  </si>
  <si>
    <t>PARTIE 2 : Évaluation quantitative du SM selon les axes d'innovation - Où sont les limites du SM</t>
  </si>
  <si>
    <t>7.  Questionnaire de détection des limites du SM</t>
  </si>
  <si>
    <t>9. CLÔTURE &amp; RAPPORT FINAL D'AUDIT</t>
  </si>
  <si>
    <t>Aucune analyse du contexte (enjeux internes et externes) réalisée</t>
  </si>
  <si>
    <t>Non-conformité</t>
  </si>
  <si>
    <t>Participants</t>
  </si>
  <si>
    <t>Clause 8.5 — Production et prestation</t>
  </si>
  <si>
    <t>Aucun élément démontrant une implication directe de la direction dans les activités innovation. Les décisions liées à l'innovation sont déléguées sans suivi stratégique.</t>
  </si>
  <si>
    <t>Formaliser l'engagement de la direction à travers une déclaration officielle, participation aux revues innovation et validation des décisions majeures.</t>
  </si>
  <si>
    <t>La stratégie actuelle ne contient aucun objectif ou orientation concernant l'innovation. L'innovation n'est pas considérée comme un axe stratégique.</t>
  </si>
  <si>
    <t>Réviser le plan stratégique afin d'intégrer des objectifs innovation, des axes prioritaires et des indicateurs associés.</t>
  </si>
  <si>
    <t>Direction Générale / Direction Stratégie</t>
  </si>
  <si>
    <t>4 mois</t>
  </si>
  <si>
    <t>Aucun budget dédié ni ressources humaines identifiées pour piloter les activités innovation.</t>
  </si>
  <si>
    <t>Définir un budget innovation annuel, identifier les ressources humaines nécessaires et mettre en place un dispositif de pilotage.</t>
  </si>
  <si>
    <t>Direction Financière / Direction Générale</t>
  </si>
  <si>
    <t>Les collaborateurs ne disposent pas d'un cadre encourageant la proposition d'idées ou l'expérimentation. Aucun système de reconnaissance identifié.</t>
  </si>
  <si>
    <t>Déployer un programme de culture innovation : boîte à idées, ateliers créativité, reconnaissance des contributions.</t>
  </si>
  <si>
    <t>Plusieurs freins organisationnels existent mais aucune analyse formelle ni plan d'élimination n'est établi.</t>
  </si>
  <si>
    <t>Réaliser une analyse des barrières à l'innovation et établir un plan d'actions avec responsables et échéances.</t>
  </si>
  <si>
    <t>Aucune revue de direction spécifique au système de management de l'innovation n'est réalisée.</t>
  </si>
  <si>
    <t>Planifier des revues périodiques incluant performance innovation, risques, opportunités et décisions stratégiques.</t>
  </si>
  <si>
    <t>Aucun document officiel définissant les engagements et orientations innovation de l'entreprise.</t>
  </si>
  <si>
    <t>Élaborer, approuver et diffuser une politique innovation conforme aux exigences ISO 56001.</t>
  </si>
  <si>
    <t>La politique existante ne présente aucun lien avec les objectifs stratégiques de l'organisation.</t>
  </si>
  <si>
    <t>Revoir la politique afin d'assurer son alignement avec la vision, mission et stratégie globale.</t>
  </si>
  <si>
    <t>L'approche innovation est limitée aux aspects techniques sans prise en compte de la valeur créée pour les clients et parties prenantes.</t>
  </si>
  <si>
    <t>Intégrer dans la politique les notions de valeur client, valeur économique, sociale et organisationnelle.</t>
  </si>
  <si>
    <t>Les collaborateurs interrogés ne connaissent pas les orientations innovation ni leurs implications.</t>
  </si>
  <si>
    <t>Organiser des sessions de sensibilisation et communiquer la politique innovation à tous les niveaux.</t>
  </si>
  <si>
    <t>Aucun processus de revue ou mise à jour de la politique innovation n'est défini.</t>
  </si>
  <si>
    <t>Mettre en place une revue annuelle de la politique avec enregistrement des modifications.</t>
  </si>
  <si>
    <t>12 mois</t>
  </si>
  <si>
    <t>Les rôles liés à l'innovation ne figurent pas dans les fiches de poste ni dans l'organisation.</t>
  </si>
  <si>
    <t>Mettre à jour l'organigramme et les fiches de fonction en intégrant les responsabilités innovation.</t>
  </si>
  <si>
    <t>Aucun pilote officiel n'est nommé pour coordonner le système de management de l'innovation.</t>
  </si>
  <si>
    <t>Nommer un responsable innovation avec mission, autorité et objectifs définis.</t>
  </si>
  <si>
    <t>Les personnes impliquées participent aux projets mais ne disposent pas d'autorité décisionnelle claire.</t>
  </si>
  <si>
    <t>Définir les niveaux d'autorité, validation et décision dans le processus innovation.</t>
  </si>
  <si>
    <t>Les employés ne savent pas comment contribuer au processus innovation.</t>
  </si>
  <si>
    <t>Réaliser une campagne de sensibilisation et clarifier les rôles de chaque fonction.</t>
  </si>
  <si>
    <t>Les services travaillent de manière indépendante sans mécanisme officiel de collaboration innovation.</t>
  </si>
  <si>
    <t>Créer des groupes transversaux innovation et définir les modalités de collaboration.</t>
  </si>
  <si>
    <t>Ressources humaines, techniques et financières identifiées pour soutenir l'innovation</t>
  </si>
  <si>
    <t>Absence de ressources dédiées à l'innovation</t>
  </si>
  <si>
    <t>Aucun moyen spécifique n'est attribué au système de management de l'innovation. Les activités innovation sont réalisées sans organisation ni ressources définies.</t>
  </si>
  <si>
    <t>Identifier les ressources nécessaires (personnel, moyens techniques, temps dédié) et établir un plan d'allocation des ressources innovation.</t>
  </si>
  <si>
    <t>Direction Financière</t>
  </si>
  <si>
    <t>Budget annuel dédié aux projets et activités innovation</t>
  </si>
  <si>
    <t>Aucun budget spécifique innovation</t>
  </si>
  <si>
    <t>Aucun budget réservé aux initiatives innovation. Les projets éventuels sont financés au cas par cas sans planification.</t>
  </si>
  <si>
    <t>Créer une ligne budgétaire innovation avec suivi des dépenses et investissements liés aux projets.</t>
  </si>
  <si>
    <t>Outils, plateformes et moyens nécessaires au développement des innovations disponibles</t>
  </si>
  <si>
    <t>Absence d'outils adaptés</t>
  </si>
  <si>
    <t>Les collaborateurs ne disposent pas d'outils structurés pour proposer, suivre et développer les idées innovantes.</t>
  </si>
  <si>
    <t>Mettre en place les outils nécessaires : plateforme de gestion des idées, outils collaboratifs, méthodes de suivi des projets.</t>
  </si>
  <si>
    <t>Aucun registre spécifique des risques liés aux projets d'innovation n'est disponible. Les risques techniques, financiers et organisationnels ne sont pas analysés systématiquement.</t>
  </si>
  <si>
    <t>Mettre en place un registre des risques innovation incluant identification, évaluation, traitement et suivi.</t>
  </si>
  <si>
    <t>Aucun processus formel permettant d'identifier les opportunités internes et externes n'est établi.</t>
  </si>
  <si>
    <t>Développer une méthode de collecte et d'analyse des opportunités (clients, technologies, marché, partenaires).</t>
  </si>
  <si>
    <t>L'évaluation des risques est réalisée de manière informelle sans critères définis.</t>
  </si>
  <si>
    <t>Définir une méthode d'évaluation basée sur probabilité, impact et criticité.</t>
  </si>
  <si>
    <t>Les risques identifiés ne font pas l'objet d'une priorisation selon leur niveau de criticité.</t>
  </si>
  <si>
    <t>Mettre en place une matrice de criticité permettant de classer les risques prioritaires.</t>
  </si>
  <si>
    <t>Les risques identifiés ne sont pas associés à des plans d'action ni à des responsables désignés.</t>
  </si>
  <si>
    <t>Élaborer des plans de traitement avec responsables, ressources et échéances.</t>
  </si>
  <si>
    <t>Plusieurs opportunités potentielles sont identifiées mais aucune décision d'exploitation n'est formalisée.</t>
  </si>
  <si>
    <t>Mettre en place un processus d'analyse, sélection et lancement des opportunités d'innovation.</t>
  </si>
  <si>
    <t>Aucun suivi permettant de vérifier l'efficacité des actions réalisées n'est disponible.</t>
  </si>
  <si>
    <t>Définir des critères d'efficacité et réaliser des revues périodiques des actions engagées.</t>
  </si>
  <si>
    <t>Aucun objectif stratégique ou opérationnel lié à l'innovation n'est formalisé.</t>
  </si>
  <si>
    <t>Définir des objectifs innovation alignés avec la stratégie de l'entreprise.</t>
  </si>
  <si>
    <t>Aucun lien démontré entre les objectifs de l'entreprise et une politique innovation inexistante ou non appliquée.</t>
  </si>
  <si>
    <t>Réviser les objectifs afin d'assurer leur cohérence avec la politique innovation.</t>
  </si>
  <si>
    <t>Les objectifs définis sont généraux et ne permettent pas une mesure de performance.</t>
  </si>
  <si>
    <t>Définir des KPI innovation : nombre d'idées, projets lancés, taux de réussite, valeur créée.</t>
  </si>
  <si>
    <t>Les équipes opérationnelles ne connaissent pas les objectifs innovation attendus.</t>
  </si>
  <si>
    <t>Communiquer les objectifs à travers réunions, formations et supports internes.</t>
  </si>
  <si>
    <t>Les objectifs innovation restent uniquement au niveau direction sans intégration dans les processus métiers.</t>
  </si>
  <si>
    <t>Traduire les objectifs en actions au niveau des différents processus.</t>
  </si>
  <si>
    <t>5 mois</t>
  </si>
  <si>
    <t>Aucun plan associé aux objectifs précisant budget, moyens humains ou délais.</t>
  </si>
  <si>
    <t>Élaborer un plan de réalisation des objectifs avec ressources nécessaires.</t>
  </si>
  <si>
    <t>Direction / Finance</t>
  </si>
  <si>
    <t>Aucun tableau de bord ou indicateur permettant le suivi des objectifs innovation.</t>
  </si>
  <si>
    <t>Créer un tableau de bord innovation avec suivi périodique des performances.</t>
  </si>
  <si>
    <t>Les changements sont réalisés de manière réactive sans planification structurée.</t>
  </si>
  <si>
    <t>Mettre en place un processus de gestion des changements innovation avec analyse préalable.</t>
  </si>
  <si>
    <t>Aucun document d'analyse des impacts sur ressources, risques, clients ou processus.</t>
  </si>
  <si>
    <t>Réaliser une analyse d'impact avant chaque changement majeur.</t>
  </si>
  <si>
    <t>Les responsabilités liées aux changements ne sont pas clairement attribuées.</t>
  </si>
  <si>
    <t>Définir les responsables, rôles et autorités avant mise en œuvre.</t>
  </si>
  <si>
    <t>Certains changements sont lancés sans validation préalable des moyens nécessaires.</t>
  </si>
  <si>
    <t>Établir une validation des ressources avant tout changement.</t>
  </si>
  <si>
    <t>Les documents et connaissances liés aux innovations ne sont pas systématiquement actualisés.</t>
  </si>
  <si>
    <t>Mettre à jour les documents, procédures et bases de connaissances après changement.</t>
  </si>
  <si>
    <t>Aucun retour d'expérience formalisé après réalisation des changements.</t>
  </si>
  <si>
    <t>Organiser une revue post-changement avec analyse des résultats et enseignements tirés.</t>
  </si>
  <si>
    <t>Compétences nécessaires définies selon les besoins du système innovation</t>
  </si>
  <si>
    <t>Compétences non identifiées</t>
  </si>
  <si>
    <t>Aucun référentiel de compétences innovation n'existe. Les besoins en compétences ne sont pas analysés.</t>
  </si>
  <si>
    <t>Définir les compétences nécessaires pour piloter et réaliser les activités innovation.</t>
  </si>
  <si>
    <t>Formations adaptées aux méthodes et outils d'innovation réalisées</t>
  </si>
  <si>
    <t>Absence de formation innovation</t>
  </si>
  <si>
    <t>Aucun programme de formation ou sensibilisation aux pratiques d'innovation n'est disponible.</t>
  </si>
  <si>
    <t>Élaborer un programme de formation sur créativité, gestion des idées, méthodes d'innovation et pilotage de projets.</t>
  </si>
  <si>
    <t>Analyse prospective des besoins futurs en compétences</t>
  </si>
  <si>
    <t>Aucun dispositif d'anticipation</t>
  </si>
  <si>
    <t>Les évolutions technologiques et besoins futurs ne sont pas intégrés dans la gestion des compétences.</t>
  </si>
  <si>
    <t>Mettre en place une analyse annuelle des besoins futurs liés aux orientations innovation.</t>
  </si>
  <si>
    <t>Direction RH / Innovation</t>
  </si>
  <si>
    <t>Les objectifs innovation sont connus par les collaborateurs</t>
  </si>
  <si>
    <t>Personnel non informé des objectifs innovation</t>
  </si>
  <si>
    <t>Les collaborateurs interrogés ne connaissent pas les objectifs ni les priorités innovation de l'entreprise.</t>
  </si>
  <si>
    <t>Organiser des réunions d'information et diffuser les objectifs innovation auprès du personnel.</t>
  </si>
  <si>
    <t>Chaque collaborateur connaît sa contribution au processus innovation</t>
  </si>
  <si>
    <t>Rôle non compris</t>
  </si>
  <si>
    <t>Les employés considèrent l'innovation comme une responsabilité limitée à certains services uniquement.</t>
  </si>
  <si>
    <t>Sensibiliser les équipes sur le rôle de chacun dans la génération, amélioration et mise en œuvre des innovations.</t>
  </si>
  <si>
    <t>Managers / RH</t>
  </si>
  <si>
    <t>Système de communication permettant la collecte et le partage des idées</t>
  </si>
  <si>
    <t>Communication insuffisante des idées</t>
  </si>
  <si>
    <t>Aucun canal officiel permettant aux collaborateurs de partager leurs idées innovation.</t>
  </si>
  <si>
    <t>Créer un processus de remontée des idées avec outil ou plateforme dédiée.</t>
  </si>
  <si>
    <t>Responsable Communication</t>
  </si>
  <si>
    <t>Résultats, réussites et retours d'expérience communiqués</t>
  </si>
  <si>
    <t>Résultats non diffusés</t>
  </si>
  <si>
    <t>Les réalisations innovation ne sont pas communiquées aux équipes ni aux parties prenantes.</t>
  </si>
  <si>
    <t>Mettre en place une communication régulière sur les projets, résultats et bénéfices obtenus.</t>
  </si>
  <si>
    <t>Documents de suivi, décisions et résultats disponibles</t>
  </si>
  <si>
    <t>Absence de documentation des projets</t>
  </si>
  <si>
    <t>Les projets innovation ne disposent pas de dossiers structurés contenant objectifs, étapes, résultats et décisions.</t>
  </si>
  <si>
    <t>Créer un système documentaire pour chaque projet innovation.</t>
  </si>
  <si>
    <t>Capitalisation des connaissances issues des projets</t>
  </si>
  <si>
    <t>Perte des connaissances acquises</t>
  </si>
  <si>
    <t>Les apprentissages issus des projets terminés ne sont pas enregistrés.</t>
  </si>
  <si>
    <t>Mettre en place un processus de retour d'expérience et capitalisation des connaissances.</t>
  </si>
  <si>
    <t>Décisions enregistrées et accessibles</t>
  </si>
  <si>
    <t>Décisions non documentées</t>
  </si>
  <si>
    <t>Les décisions concernant les projets innovation sont prises sans preuve formelle ni traçabilité.</t>
  </si>
  <si>
    <t>Formaliser les comptes rendus de décisions et validations innovation.</t>
  </si>
  <si>
    <t>Processus innovation formalisé avec étapes, responsabilités et méthodes définies</t>
  </si>
  <si>
    <t>Absence de processus innovation formalisé</t>
  </si>
  <si>
    <t>Aucun processus structuré décrivant le fonctionnement de l'innovation dans l'entreprise. Les initiatives sont réalisées de manière ponctuelle et non organisée.</t>
  </si>
  <si>
    <t>Définir et formaliser le processus de management de l'innovation incluant identification, sélection, développement, validation et déploiement.</t>
  </si>
  <si>
    <t>Étapes du processus innovation planifiées avec jalons et critères de passage</t>
  </si>
  <si>
    <t>Absence de planification des étapes</t>
  </si>
  <si>
    <t>Les projets innovation ne disposent pas d'un planning structuré ni de points de contrôle définis.</t>
  </si>
  <si>
    <t>Mettre en place une planification type des projets innovation avec jalons, livrables et critères de validation.</t>
  </si>
  <si>
    <t>Chef de projet Innovation</t>
  </si>
  <si>
    <t>Ressources humaines, financières et techniques attribuées aux projets</t>
  </si>
  <si>
    <t>Ressources non définies avant lancement</t>
  </si>
  <si>
    <t>Les projets innovation peuvent être lancés sans identification préalable des ressources nécessaires.</t>
  </si>
  <si>
    <t>Définir les ressources nécessaires avant chaque lancement de projet innovation et valider leur disponibilité.</t>
  </si>
  <si>
    <t>Méthode organisée de recherche et collecte des opportunités</t>
  </si>
  <si>
    <t>Recherche non organisée des opportunités</t>
  </si>
  <si>
    <t>L'entreprise ne dispose pas d'une démarche formelle de veille ou d'identification des opportunités d'innovation.</t>
  </si>
  <si>
    <t>Mettre en place une démarche structurée incluant veille technologique, analyse marché et collecte des idées internes.</t>
  </si>
  <si>
    <t>Analyse régulière des besoins clients et attentes futures</t>
  </si>
  <si>
    <t>Absence d'analyse des besoins émergents</t>
  </si>
  <si>
    <t>Les besoins futurs des clients ne sont pas intégrés dans le processus d'innovation.</t>
  </si>
  <si>
    <t>Mettre en place des enquêtes clients, analyses des tendances et retours utilisateurs.</t>
  </si>
  <si>
    <t>Direction Commerciale / Innovation</t>
  </si>
  <si>
    <t>Veille technologique et analyse des technologies pertinentes</t>
  </si>
  <si>
    <t>Absence d'évaluation technologique</t>
  </si>
  <si>
    <t>Aucun processus permettant d'évaluer l'intérêt ou l'applicabilité des nouvelles technologies.</t>
  </si>
  <si>
    <t>Créer un processus de veille technologique et d'évaluation des technologies émergentes.</t>
  </si>
  <si>
    <t>Méthode d'évaluation des idées basée sur des critères définis</t>
  </si>
  <si>
    <t>Idées évaluées de manière subjective</t>
  </si>
  <si>
    <t>Les idées proposées ne font pas l'objet d'une analyse formelle avant décision.</t>
  </si>
  <si>
    <t>Définir une grille d'évaluation des idées selon valeur, faisabilité, coût et risques.</t>
  </si>
  <si>
    <t>Études de faisabilité réalisées avant développement</t>
  </si>
  <si>
    <t>Concepts non analysés</t>
  </si>
  <si>
    <t>Les concepts innovation ne sont pas suffisamment étudiés avant engagement des ressources.</t>
  </si>
  <si>
    <t>Mettre en place des études préliminaires incluant analyse technique, économique et utilisateur.</t>
  </si>
  <si>
    <t>Critères documentés pour sélectionner les concepts prioritaires</t>
  </si>
  <si>
    <t>Absence de critères de sélection</t>
  </si>
  <si>
    <t>Les décisions de poursuivre ou arrêter un concept sont prises sans méthode définie.</t>
  </si>
  <si>
    <t>Définir des critères de sélection et un processus de validation des concepts.</t>
  </si>
  <si>
    <t>Tests ou expérimentations réalisés avant déploiement</t>
  </si>
  <si>
    <t>Absence de tests des concepts</t>
  </si>
  <si>
    <t>Les concepts sont parfois déployés sans preuve préalable de faisabilité.</t>
  </si>
  <si>
    <t>Mettre en place une phase obligatoire de test et validation avant déploiement.</t>
  </si>
  <si>
    <t>Prototypes ou modèles permettant de valider les solutions</t>
  </si>
  <si>
    <t>Absence de prototypes</t>
  </si>
  <si>
    <t>Aucun prototype ou démonstrateur n'est développé avant lancement opérationnel.</t>
  </si>
  <si>
    <t>Définir une démarche de prototypage adaptée aux projets innovation.</t>
  </si>
  <si>
    <t>Direction Projet</t>
  </si>
  <si>
    <t>Participation des utilisateurs finaux dans les tests et validations</t>
  </si>
  <si>
    <t>Validation uniquement interne</t>
  </si>
  <si>
    <t>Les utilisateurs finaux ne sont pas impliqués dans l'évaluation des solutions développées.</t>
  </si>
  <si>
    <t>Intégrer les utilisateurs dans les phases de test, retour d'expérience et validation.</t>
  </si>
  <si>
    <t>Processus défini pour transformer les innovations validées en solutions opérationnelles</t>
  </si>
  <si>
    <t>Innovations validées non déployées</t>
  </si>
  <si>
    <t>Certains projets restent au stade d'idée ou prototype sans passage à la mise en œuvre.</t>
  </si>
  <si>
    <t>Définir un processus de transfert vers l'exploitation avec responsabilités et moyens associés.</t>
  </si>
  <si>
    <t>Responsable Innovation / Direction Opérationnelle</t>
  </si>
  <si>
    <t>Indicateurs permettant d'évaluer la performance des innovations</t>
  </si>
  <si>
    <t>Absence de mesure des résultats</t>
  </si>
  <si>
    <t>Aucun indicateur permettant d'évaluer la valeur créée par les innovations.</t>
  </si>
  <si>
    <t>Définir des KPI innovation : valeur créée, satisfaction client, gains, retour investissement.</t>
  </si>
  <si>
    <t>Retour d'expérience documenté après chaque innovation</t>
  </si>
  <si>
    <t>Absence de capitalisation</t>
  </si>
  <si>
    <t>Les erreurs, réussites et enseignements des projets ne sont pas enregistrés.</t>
  </si>
  <si>
    <t>Mettre en place une démarche systématique de retour d'expérience et partage des connaissances.</t>
  </si>
  <si>
    <t>Mesure régulière des performances du système innovation</t>
  </si>
  <si>
    <t>Absence de suivi des performances innovation</t>
  </si>
  <si>
    <t>L'entreprise ne dispose pas d'un système permettant de mesurer l'efficacité des activités innovation. Les résultats ne sont pas analysés.</t>
  </si>
  <si>
    <t>Définir un processus de surveillance et mesure des performances innovation avec indicateurs, fréquence de suivi et responsables.</t>
  </si>
  <si>
    <t>Indicateurs définis permettant d'évaluer la performance innovation</t>
  </si>
  <si>
    <t>Absence d'indicateurs innovation</t>
  </si>
  <si>
    <t>Aucun indicateur spécifique n'est utilisé pour suivre les résultats des projets innovation.</t>
  </si>
  <si>
    <t>Mettre en place un tableau de bord innovation comprenant notamment : nombre d'idées, projets lancés, taux de réussite, valeur créée, ROI innovation.</t>
  </si>
  <si>
    <t>Suivi structuré des projets innovation en cours et de leur état d'avancement</t>
  </si>
  <si>
    <t>Absence de gestion du portefeuille innovation</t>
  </si>
  <si>
    <t>Aucun suivi global des projets innovation n'est réalisé. Il n'existe pas de vision consolidée des projets.</t>
  </si>
  <si>
    <t>Créer un portefeuille innovation avec suivi des projets, budgets, risques, résultats et décisions.</t>
  </si>
  <si>
    <t>Indicateur</t>
  </si>
  <si>
    <t>Situation NC observée</t>
  </si>
  <si>
    <t>Nombre d'idées déposées par collaborateur</t>
  </si>
  <si>
    <t>Aucun suivi des contributions internes</t>
  </si>
  <si>
    <t>Mettre en place un système de collecte et mesure des idées</t>
  </si>
  <si>
    <t>Nombre de projets d'innovation lancés</t>
  </si>
  <si>
    <t>Aucun inventaire des projets</t>
  </si>
  <si>
    <t>Créer un registre des projets innovation</t>
  </si>
  <si>
    <t>Taux de transformation idée → projet</t>
  </si>
  <si>
    <t>Aucun indicateur de sélection</t>
  </si>
  <si>
    <t>Mettre en place un suivi du passage des idées aux projets</t>
  </si>
  <si>
    <t>Taux de transformation projet → innovation mise sur le marché</t>
  </si>
  <si>
    <t>Absence de mesure de réussite</t>
  </si>
  <si>
    <t>Définir un indicateur de conversion</t>
  </si>
  <si>
    <t>Temps moyen de développement d'une innovation</t>
  </si>
  <si>
    <t>Durées non mesurées</t>
  </si>
  <si>
    <t>Suivre les délais des projets</t>
  </si>
  <si>
    <t>Valeur créée par les innovations</t>
  </si>
  <si>
    <t>Aucun calcul des bénéfices</t>
  </si>
  <si>
    <t>Évaluer les gains économiques ou organisationnels</t>
  </si>
  <si>
    <t>Pourcentage du chiffre d'affaires provenant de nouveaux services</t>
  </si>
  <si>
    <t>Définir un indicateur économique innovation</t>
  </si>
  <si>
    <t>Nombre de brevets ou protections intellectuelles</t>
  </si>
  <si>
    <t>Non suivi</t>
  </si>
  <si>
    <t>Mettre en place un suivi des actifs intellectuels</t>
  </si>
  <si>
    <t>Nombre de partenariats technologiques</t>
  </si>
  <si>
    <t>Absence de suivi externe</t>
  </si>
  <si>
    <t>Identifier et suivre les collaborations</t>
  </si>
  <si>
    <t>Taux de participation des collaborateurs aux programmes d'innovation</t>
  </si>
  <si>
    <t>Participation non mesurée</t>
  </si>
  <si>
    <t>Mesurer l'implication du personnel</t>
  </si>
  <si>
    <t>Audits internes planifiés et réalisés selon un programme défini</t>
  </si>
  <si>
    <t>Absence d'audit interne du système innovation</t>
  </si>
  <si>
    <t>Aucun audit interne spécifique au système de management de l'innovation n'est réalisé.</t>
  </si>
  <si>
    <t>Élaborer un programme d'audit interne ISO 56001 et réaliser des audits périodiques.</t>
  </si>
  <si>
    <t>Auditeurs formés aux exigences ISO 56001 et aux méthodes d'audit</t>
  </si>
  <si>
    <t>Auditeurs non formés</t>
  </si>
  <si>
    <t>Les auditeurs internes ne disposent pas de compétences démontrées en management de l'innovation.</t>
  </si>
  <si>
    <t>Former et qualifier les auditeurs internes selon les exigences ISO 56001.</t>
  </si>
  <si>
    <t>Suivi documenté des actions issues des audits</t>
  </si>
  <si>
    <t>Actions non suivies</t>
  </si>
  <si>
    <t>Les écarts identifiés ne font pas toujours l'objet d'un suivi jusqu'à clôture.</t>
  </si>
  <si>
    <t>Mettre en place un registre de suivi des actions avec responsables, délais et vérification d'efficacité.</t>
  </si>
  <si>
    <t>Revue périodique des performances et résultats innovation</t>
  </si>
  <si>
    <t>Absence d'examen des résultats innovation</t>
  </si>
  <si>
    <t>La direction ne réalise pas de revue formelle concernant les performances du système innovation.</t>
  </si>
  <si>
    <t>Intégrer l'innovation dans les revues de direction avec analyse des résultats, risques et opportunités.</t>
  </si>
  <si>
    <t>Analyse périodique de l'adéquation des ressources</t>
  </si>
  <si>
    <t>Ressources non réévaluées</t>
  </si>
  <si>
    <t>Les besoins en ressources ne sont pas réexaminés selon l'évolution des projets innovation.</t>
  </si>
  <si>
    <t>Ajouter une revue des ressources humaines, financières et techniques dans la revue de direction.</t>
  </si>
  <si>
    <t>Révision périodique des objectifs selon les résultats obtenus</t>
  </si>
  <si>
    <t>Objectifs non actualisés</t>
  </si>
  <si>
    <t>Les objectifs innovation restent inchangés malgré l'évolution du contexte.</t>
  </si>
  <si>
    <t>Mettre en place une révision annuelle des objectifs innovation basée sur les performances et orientations stratégiques.</t>
  </si>
  <si>
    <t>Exemple</t>
  </si>
  <si>
    <t>Actions d'amélioration continue basées sur les résultats, audits et retours d'expérience</t>
  </si>
  <si>
    <t>Absence de démarche d'amélioration continue</t>
  </si>
  <si>
    <t>Aucun mécanisme formel n'existe pour identifier, planifier et réaliser les améliorations du système de management de l'innovation.</t>
  </si>
  <si>
    <t>Mettre en place une démarche d'amélioration continue basée sur le cycle PDCA avec suivi des actions d'amélioration.</t>
  </si>
  <si>
    <t>Les retours d'expérience et apprentissages des projets sont analysés et utilisés</t>
  </si>
  <si>
    <t>Absence d'exploitation des enseignements</t>
  </si>
  <si>
    <t>Les difficultés rencontrées et les bonnes pratiques issues des projets ne sont pas capitalisées.</t>
  </si>
  <si>
    <t>Organiser des revues de retour d'expérience après chaque projet innovation et diffuser les enseignements.</t>
  </si>
  <si>
    <t>Les échecs et abandons de projets sont analysés pour identifier les apprentissages</t>
  </si>
  <si>
    <t>Absence d'analyse des échecs innovation</t>
  </si>
  <si>
    <t>Les projets innovation arrêtés ou non réussis sont abandonnés sans analyse des causes ni capitalisation.</t>
  </si>
  <si>
    <t>Mettre en place une analyse systématique des échecs innovation avec identification des causes et enseignements.</t>
  </si>
  <si>
    <t>Méthodes d'analyse des causes utilisées (5M, 5 Pourquoi, analyse causes racines)</t>
  </si>
  <si>
    <t>Absence d'analyse des causes profondes</t>
  </si>
  <si>
    <t>Les problèmes sont traités uniquement par des corrections immédiates sans recherche des causes fondamentales.</t>
  </si>
  <si>
    <t>Déployer une méthode d'analyse des causes racines pour chaque non-conformité ou échec significatif.</t>
  </si>
  <si>
    <t>Actions correctives enregistrées, suivies et vérifiées</t>
  </si>
  <si>
    <t>Absence de suivi des actions correctives</t>
  </si>
  <si>
    <t>Aucun système permettant de suivre l'avancement et l'efficacité des actions correctives innovation.</t>
  </si>
  <si>
    <t>Créer un registre des actions correctives avec responsable, délai, preuve de réalisation et vérification d'efficacité.</t>
  </si>
  <si>
    <t>Évaluation régulière du niveau de maturité innovation et amélioration progressive</t>
  </si>
  <si>
    <t>Absence d'évaluation de maturité innovation</t>
  </si>
  <si>
    <t>L'entreprise ne mesure pas son niveau de maturité en management de l'innovation et ne suit pas son évolution.</t>
  </si>
  <si>
    <t>Réaliser une évaluation initiale de maturité innovation et définir une feuille de route d'amélioration.</t>
  </si>
  <si>
    <t>Partage organisé des bonnes pratiques entre équipes et projets</t>
  </si>
  <si>
    <t>Absence de diffusion des bonnes pratiques</t>
  </si>
  <si>
    <t>Les bonnes pratiques développées dans certains projets restent locales et ne sont pas partagées.</t>
  </si>
  <si>
    <t>Mettre en place un système de partage des connaissances : réunions, base documentaire, communautés internes.</t>
  </si>
  <si>
    <t>Culture favorisant créativité, collaboration et expérimentation</t>
  </si>
  <si>
    <t>Culture innovation insuffisamment développée</t>
  </si>
  <si>
    <t>Les collaborateurs ne sont pas suffisamment impliqués dans la démarche innovation et considèrent l'innovation comme une activité limitée à certains services.</t>
  </si>
  <si>
    <t>Déployer un programme de développement de la culture innovation incluant sensibilisation, ateliers créativité et reconnaissance des initiatives.</t>
  </si>
  <si>
    <t>Maintenir / Augmenter</t>
  </si>
  <si>
    <t>1. Informations générales</t>
  </si>
  <si>
    <t>….</t>
  </si>
  <si>
    <t xml:space="preserve">Identifier les défaillances </t>
  </si>
  <si>
    <t>1.5</t>
  </si>
  <si>
    <t>…</t>
  </si>
  <si>
    <t>6. ÉVALUATION DU SYSTÈME DE MANAGEMENT ISO9001</t>
  </si>
  <si>
    <t xml:space="preserve">8.  CONSTATS DES DEFAILLANCES  (Nonconformité et limites ) et solutions </t>
  </si>
  <si>
    <t>6. Constats et solutions</t>
  </si>
  <si>
    <t>Solutions ( plan d'actions)  et feuille de route</t>
  </si>
  <si>
    <t xml:space="preserve">10. Vérification d'efficacite et de la conformité - ISO 56001 </t>
  </si>
  <si>
    <t xml:space="preserve">SYSTÈME DE PERFORMANCE DURABLE DU SM - PLATEFORME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</si>
</sst>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sz val="24"/>
      <color rgb="FF0070C0"/>
      <name val="Times New Roman"/>
      <family val="1"/>
    </font>
    <font>
      <b/>
      <sz val="22"/>
      <color theme="2" tint="-0.499984740745262"/>
      <name val="Times New Roman"/>
      <family val="1"/>
    </font>
    <font>
      <b/>
      <sz val="18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4"/>
      <color rgb="FF0070C0"/>
      <name val="Times New Roman"/>
      <family val="1"/>
    </font>
    <font>
      <b/>
      <sz val="22"/>
      <color theme="2" tint="-0.499984740745262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4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color theme="1"/>
      <name val="Calibri"/>
      <charset val="134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207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0" fillId="0" borderId="0" xfId="0" applyFont="1" applyAlignment="1">
      <alignment horizontal="center" vertical="center"/>
    </xf>
    <xf numFmtId="0" fontId="10" fillId="0" borderId="0" xfId="0" applyFont="1"/>
    <xf numFmtId="0" fontId="0" fillId="0" borderId="3" xfId="0" applyBorder="1"/>
    <xf numFmtId="0" fontId="0" fillId="0" borderId="4" xfId="0" applyBorder="1"/>
    <xf numFmtId="0" fontId="0" fillId="0" borderId="0" xfId="0" applyFont="1"/>
    <xf numFmtId="0" fontId="5" fillId="0" borderId="3" xfId="0" applyFont="1" applyBorder="1"/>
    <xf numFmtId="0" fontId="0" fillId="0" borderId="5" xfId="0" applyBorder="1"/>
    <xf numFmtId="0" fontId="0" fillId="0" borderId="0" xfId="0" applyFont="1" applyBorder="1"/>
    <xf numFmtId="0" fontId="0" fillId="0" borderId="6" xfId="0" applyBorder="1"/>
    <xf numFmtId="0" fontId="6" fillId="0" borderId="0" xfId="0" applyFont="1" applyBorder="1" applyAlignment="1">
      <alignment vertical="center"/>
    </xf>
    <xf numFmtId="0" fontId="0" fillId="0" borderId="7" xfId="0" applyBorder="1"/>
    <xf numFmtId="0" fontId="0" fillId="0" borderId="8" xfId="0" applyFont="1" applyBorder="1"/>
    <xf numFmtId="0" fontId="0" fillId="0" borderId="9" xfId="0" applyBorder="1"/>
    <xf numFmtId="0" fontId="8" fillId="0" borderId="6" xfId="0" applyFont="1" applyBorder="1"/>
    <xf numFmtId="0" fontId="8" fillId="0" borderId="5" xfId="0" applyFont="1" applyBorder="1"/>
    <xf numFmtId="0" fontId="6" fillId="0" borderId="0" xfId="0" applyFont="1" applyAlignment="1">
      <alignment vertical="center"/>
    </xf>
    <xf numFmtId="0" fontId="8" fillId="0" borderId="7" xfId="0" applyFont="1" applyBorder="1"/>
    <xf numFmtId="0" fontId="20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3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8" fillId="0" borderId="3" xfId="0" applyFont="1" applyBorder="1"/>
    <xf numFmtId="0" fontId="8" fillId="0" borderId="4" xfId="0" applyFont="1" applyBorder="1"/>
    <xf numFmtId="0" fontId="8" fillId="0" borderId="0" xfId="0" applyFont="1" applyBorder="1"/>
    <xf numFmtId="0" fontId="10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6" fillId="0" borderId="5" xfId="0" applyFont="1" applyBorder="1"/>
    <xf numFmtId="0" fontId="13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 vertical="center" indent="1"/>
    </xf>
    <xf numFmtId="0" fontId="16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indent="1"/>
    </xf>
    <xf numFmtId="0" fontId="19" fillId="0" borderId="5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9" fillId="0" borderId="14" xfId="0" applyFont="1" applyBorder="1" applyAlignment="1">
      <alignment vertical="center"/>
    </xf>
    <xf numFmtId="0" fontId="8" fillId="0" borderId="15" xfId="0" applyFont="1" applyBorder="1"/>
    <xf numFmtId="0" fontId="8" fillId="0" borderId="16" xfId="0" applyFont="1" applyBorder="1"/>
    <xf numFmtId="0" fontId="16" fillId="0" borderId="0" xfId="0" applyFont="1" applyBorder="1"/>
    <xf numFmtId="0" fontId="16" fillId="0" borderId="5" xfId="0" applyFont="1" applyBorder="1"/>
    <xf numFmtId="0" fontId="16" fillId="0" borderId="1" xfId="0" applyFont="1" applyBorder="1"/>
    <xf numFmtId="0" fontId="11" fillId="0" borderId="2" xfId="0" applyFont="1" applyBorder="1" applyAlignment="1">
      <alignment vertical="center"/>
    </xf>
    <xf numFmtId="0" fontId="8" fillId="0" borderId="8" xfId="0" applyFont="1" applyBorder="1"/>
    <xf numFmtId="0" fontId="17" fillId="0" borderId="2" xfId="0" applyFont="1" applyBorder="1" applyAlignment="1">
      <alignment vertical="center"/>
    </xf>
    <xf numFmtId="0" fontId="16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 vertical="center" wrapText="1"/>
    </xf>
    <xf numFmtId="0" fontId="16" fillId="0" borderId="0" xfId="0" applyFont="1"/>
    <xf numFmtId="0" fontId="23" fillId="0" borderId="14" xfId="0" applyFont="1" applyBorder="1" applyAlignment="1">
      <alignment vertical="center"/>
    </xf>
    <xf numFmtId="0" fontId="16" fillId="0" borderId="15" xfId="0" applyFont="1" applyBorder="1"/>
    <xf numFmtId="0" fontId="16" fillId="0" borderId="16" xfId="0" applyFont="1" applyBorder="1"/>
    <xf numFmtId="0" fontId="16" fillId="0" borderId="6" xfId="0" applyFont="1" applyBorder="1"/>
    <xf numFmtId="0" fontId="20" fillId="0" borderId="1" xfId="0" applyFont="1" applyBorder="1" applyAlignment="1">
      <alignment horizontal="center" vertical="center" wrapText="1"/>
    </xf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9" fillId="0" borderId="2" xfId="0" applyFont="1" applyBorder="1" applyAlignment="1">
      <alignment vertical="center"/>
    </xf>
    <xf numFmtId="0" fontId="16" fillId="0" borderId="3" xfId="0" applyFont="1" applyBorder="1"/>
    <xf numFmtId="0" fontId="16" fillId="0" borderId="4" xfId="0" applyFont="1" applyBorder="1"/>
    <xf numFmtId="0" fontId="24" fillId="0" borderId="23" xfId="0" applyFont="1" applyBorder="1" applyAlignment="1">
      <alignment vertical="center"/>
    </xf>
    <xf numFmtId="0" fontId="16" fillId="0" borderId="21" xfId="0" applyFont="1" applyBorder="1"/>
    <xf numFmtId="0" fontId="16" fillId="0" borderId="24" xfId="0" applyFont="1" applyBorder="1"/>
    <xf numFmtId="0" fontId="20" fillId="0" borderId="5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24" fillId="0" borderId="5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6" fillId="0" borderId="22" xfId="0" applyFont="1" applyBorder="1"/>
    <xf numFmtId="0" fontId="16" fillId="0" borderId="26" xfId="0" applyFont="1" applyBorder="1"/>
    <xf numFmtId="0" fontId="16" fillId="0" borderId="25" xfId="0" applyFont="1" applyBorder="1"/>
    <xf numFmtId="0" fontId="23" fillId="0" borderId="3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2" xfId="0" applyFont="1" applyBorder="1" applyAlignment="1"/>
    <xf numFmtId="0" fontId="19" fillId="0" borderId="3" xfId="0" applyFont="1" applyBorder="1" applyAlignment="1"/>
    <xf numFmtId="0" fontId="26" fillId="0" borderId="5" xfId="0" applyFont="1" applyBorder="1" applyAlignment="1">
      <alignment vertical="center"/>
    </xf>
    <xf numFmtId="0" fontId="22" fillId="0" borderId="0" xfId="0" applyFont="1" applyBorder="1" applyAlignment="1">
      <alignment horizontal="left" vertical="center" wrapText="1" indent="1"/>
    </xf>
    <xf numFmtId="0" fontId="19" fillId="0" borderId="0" xfId="0" applyFont="1" applyBorder="1" applyAlignment="1"/>
    <xf numFmtId="0" fontId="19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 wrapText="1" indent="1"/>
    </xf>
    <xf numFmtId="0" fontId="27" fillId="0" borderId="0" xfId="0" applyFont="1" applyBorder="1" applyAlignment="1"/>
    <xf numFmtId="0" fontId="28" fillId="0" borderId="13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1"/>
    </xf>
    <xf numFmtId="0" fontId="16" fillId="0" borderId="10" xfId="0" applyFont="1" applyBorder="1" applyAlignment="1">
      <alignment horizontal="left" vertical="center" wrapText="1" indent="1"/>
    </xf>
    <xf numFmtId="0" fontId="20" fillId="0" borderId="0" xfId="0" applyFont="1" applyBorder="1" applyAlignment="1">
      <alignment vertical="center" wrapText="1"/>
    </xf>
    <xf numFmtId="0" fontId="28" fillId="0" borderId="20" xfId="0" applyFont="1" applyBorder="1" applyAlignment="1">
      <alignment vertical="center" wrapText="1"/>
    </xf>
    <xf numFmtId="0" fontId="16" fillId="0" borderId="11" xfId="0" applyFont="1" applyBorder="1" applyAlignment="1">
      <alignment horizontal="left" vertical="center" wrapText="1" indent="1"/>
    </xf>
    <xf numFmtId="0" fontId="16" fillId="0" borderId="12" xfId="0" applyFont="1" applyBorder="1" applyAlignment="1">
      <alignment horizontal="left" vertical="center" wrapText="1" indent="1"/>
    </xf>
    <xf numFmtId="0" fontId="20" fillId="0" borderId="8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2" fillId="0" borderId="0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19" fillId="0" borderId="5" xfId="0" applyFont="1" applyBorder="1" applyAlignment="1"/>
    <xf numFmtId="0" fontId="16" fillId="0" borderId="1" xfId="0" applyFont="1" applyBorder="1" applyAlignment="1">
      <alignment horizontal="left" vertical="center" indent="1"/>
    </xf>
    <xf numFmtId="0" fontId="16" fillId="0" borderId="10" xfId="0" applyFont="1" applyBorder="1" applyAlignment="1">
      <alignment vertical="center" wrapText="1"/>
    </xf>
    <xf numFmtId="0" fontId="16" fillId="0" borderId="10" xfId="0" applyFont="1" applyBorder="1"/>
    <xf numFmtId="0" fontId="16" fillId="0" borderId="11" xfId="0" applyFont="1" applyBorder="1" applyAlignment="1">
      <alignment horizontal="left" vertical="center" indent="1"/>
    </xf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 applyAlignment="1">
      <alignment horizontal="left" vertical="center" indent="1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/>
    <xf numFmtId="0" fontId="27" fillId="0" borderId="3" xfId="0" applyFont="1" applyBorder="1" applyAlignment="1">
      <alignment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horizontal="left" vertical="center" indent="1"/>
    </xf>
    <xf numFmtId="0" fontId="16" fillId="0" borderId="18" xfId="0" applyFont="1" applyBorder="1"/>
    <xf numFmtId="0" fontId="16" fillId="0" borderId="19" xfId="0" applyFont="1" applyBorder="1"/>
    <xf numFmtId="0" fontId="20" fillId="0" borderId="1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8" fillId="0" borderId="0" xfId="0" applyFont="1" applyBorder="1" applyAlignment="1">
      <alignment wrapText="1"/>
    </xf>
    <xf numFmtId="0" fontId="29" fillId="0" borderId="5" xfId="0" applyFont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/>
    <xf numFmtId="0" fontId="8" fillId="0" borderId="22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6" fillId="0" borderId="25" xfId="0" applyFont="1" applyBorder="1"/>
    <xf numFmtId="0" fontId="0" fillId="0" borderId="26" xfId="0" applyFont="1" applyBorder="1" applyAlignment="1">
      <alignment vertical="center" wrapText="1"/>
    </xf>
    <xf numFmtId="0" fontId="12" fillId="0" borderId="23" xfId="0" applyFont="1" applyBorder="1" applyAlignment="1">
      <alignment vertical="center"/>
    </xf>
    <xf numFmtId="0" fontId="0" fillId="0" borderId="24" xfId="0" applyFont="1" applyBorder="1" applyAlignment="1">
      <alignment vertical="center" wrapText="1"/>
    </xf>
    <xf numFmtId="0" fontId="8" fillId="0" borderId="25" xfId="0" applyFont="1" applyBorder="1"/>
    <xf numFmtId="0" fontId="8" fillId="0" borderId="25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indent="1"/>
    </xf>
    <xf numFmtId="0" fontId="0" fillId="0" borderId="22" xfId="0" applyBorder="1" applyAlignment="1">
      <alignment vertical="center" wrapText="1"/>
    </xf>
    <xf numFmtId="0" fontId="16" fillId="0" borderId="25" xfId="0" applyFont="1" applyBorder="1" applyAlignment="1">
      <alignment horizontal="left" vertical="center" indent="1"/>
    </xf>
    <xf numFmtId="0" fontId="18" fillId="0" borderId="23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7" fillId="0" borderId="17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Border="1"/>
    <xf numFmtId="0" fontId="8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6" fillId="0" borderId="2" xfId="0" applyFont="1" applyBorder="1"/>
    <xf numFmtId="0" fontId="1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0" borderId="2" xfId="0" applyFont="1" applyBorder="1"/>
    <xf numFmtId="0" fontId="31" fillId="0" borderId="0" xfId="0" applyFont="1" applyAlignment="1">
      <alignment horizontal="left" vertical="center" indent="5"/>
    </xf>
    <xf numFmtId="0" fontId="1" fillId="0" borderId="0" xfId="0" applyFo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zoomScale="70" zoomScaleNormal="70" workbookViewId="0">
      <selection activeCell="B58" sqref="B58"/>
    </sheetView>
  </sheetViews>
  <sheetFormatPr baseColWidth="10" defaultColWidth="11" defaultRowHeight="15"/>
  <cols>
    <col min="3" max="3" width="11.42578125" customWidth="1"/>
    <col min="5" max="5" width="65.140625" customWidth="1"/>
  </cols>
  <sheetData>
    <row r="1" spans="2:4" ht="15.75" thickBot="1"/>
    <row r="2" spans="2:4">
      <c r="B2" s="200" t="s">
        <v>1440</v>
      </c>
    </row>
    <row r="3" spans="2:4">
      <c r="B3" s="205" t="s">
        <v>0</v>
      </c>
    </row>
    <row r="4" spans="2:4" ht="22.5">
      <c r="B4" s="203"/>
      <c r="C4" s="8" t="s">
        <v>1</v>
      </c>
    </row>
    <row r="5" spans="2:4" ht="22.5">
      <c r="B5" s="203"/>
      <c r="C5" s="3" t="s">
        <v>2</v>
      </c>
    </row>
    <row r="6" spans="2:4" ht="22.5">
      <c r="B6" s="203"/>
      <c r="C6" s="3" t="s">
        <v>3</v>
      </c>
    </row>
    <row r="7" spans="2:4" ht="22.5">
      <c r="B7" s="203"/>
      <c r="C7" s="3" t="s">
        <v>4</v>
      </c>
    </row>
    <row r="8" spans="2:4" ht="22.5">
      <c r="B8" s="203"/>
      <c r="C8" s="3"/>
      <c r="D8" s="3" t="s">
        <v>5</v>
      </c>
    </row>
    <row r="9" spans="2:4" ht="22.5">
      <c r="B9" s="203"/>
      <c r="C9" s="3"/>
      <c r="D9" s="3" t="s">
        <v>6</v>
      </c>
    </row>
    <row r="10" spans="2:4" ht="22.5">
      <c r="B10" s="203"/>
      <c r="C10" s="3"/>
      <c r="D10" s="3" t="s">
        <v>7</v>
      </c>
    </row>
    <row r="11" spans="2:4" ht="22.5">
      <c r="B11" s="203"/>
      <c r="C11" s="3"/>
      <c r="D11" s="3" t="s">
        <v>8</v>
      </c>
    </row>
    <row r="12" spans="2:4" ht="30.75" customHeight="1">
      <c r="B12" s="203"/>
      <c r="C12" s="3"/>
      <c r="D12" s="3" t="s">
        <v>9</v>
      </c>
    </row>
    <row r="13" spans="2:4" ht="30.75" customHeight="1">
      <c r="B13" s="203"/>
      <c r="C13" s="3"/>
      <c r="D13" s="3" t="s">
        <v>1434</v>
      </c>
    </row>
    <row r="14" spans="2:4" ht="22.5">
      <c r="B14" s="203"/>
      <c r="C14" s="201" t="s">
        <v>1079</v>
      </c>
    </row>
    <row r="15" spans="2:4" ht="22.5">
      <c r="B15" s="203"/>
      <c r="C15" s="202"/>
      <c r="D15" s="3" t="s">
        <v>10</v>
      </c>
    </row>
    <row r="16" spans="2:4" ht="22.5">
      <c r="B16" s="203"/>
      <c r="C16" s="202"/>
      <c r="D16" s="3" t="s">
        <v>11</v>
      </c>
    </row>
    <row r="17" spans="2:4" ht="22.5">
      <c r="B17" s="203"/>
      <c r="C17" s="202"/>
      <c r="D17" s="3" t="s">
        <v>12</v>
      </c>
    </row>
    <row r="18" spans="2:4" ht="22.5">
      <c r="B18" s="203"/>
      <c r="C18" s="202"/>
      <c r="D18" s="3" t="s">
        <v>1434</v>
      </c>
    </row>
    <row r="19" spans="2:4" ht="22.5">
      <c r="B19" s="183"/>
      <c r="C19" s="202" t="s">
        <v>1435</v>
      </c>
      <c r="D19" s="3"/>
    </row>
    <row r="20" spans="2:4" ht="22.5">
      <c r="B20" s="183"/>
      <c r="C20" s="201" t="s">
        <v>1125</v>
      </c>
      <c r="D20" s="3"/>
    </row>
    <row r="21" spans="2:4" ht="22.5">
      <c r="B21" s="183"/>
      <c r="C21" s="202" t="s">
        <v>1436</v>
      </c>
    </row>
    <row r="22" spans="2:4" ht="22.5">
      <c r="B22" s="183"/>
      <c r="C22" s="3"/>
      <c r="D22" s="8" t="s">
        <v>13</v>
      </c>
    </row>
    <row r="23" spans="2:4" ht="22.5">
      <c r="B23" s="183"/>
      <c r="C23" s="3"/>
      <c r="D23" s="3" t="s">
        <v>14</v>
      </c>
    </row>
    <row r="24" spans="2:4" ht="22.5">
      <c r="B24" s="183"/>
      <c r="C24" s="3"/>
      <c r="D24" s="3" t="s">
        <v>15</v>
      </c>
    </row>
    <row r="25" spans="2:4" ht="22.5">
      <c r="B25" s="183"/>
      <c r="C25" s="3"/>
      <c r="D25" s="3" t="s">
        <v>16</v>
      </c>
    </row>
    <row r="26" spans="2:4" ht="22.5">
      <c r="B26" s="183"/>
      <c r="C26" s="3"/>
      <c r="D26" s="3" t="s">
        <v>1431</v>
      </c>
    </row>
    <row r="27" spans="2:4" ht="22.5">
      <c r="B27" s="7"/>
      <c r="C27" s="3" t="s">
        <v>1126</v>
      </c>
    </row>
    <row r="28" spans="2:4" ht="22.5">
      <c r="D28" s="3" t="s">
        <v>1430</v>
      </c>
    </row>
    <row r="29" spans="2:4" ht="22.5">
      <c r="D29" s="3" t="s">
        <v>17</v>
      </c>
    </row>
    <row r="30" spans="2:4" ht="22.5">
      <c r="D30" s="3" t="s">
        <v>18</v>
      </c>
    </row>
    <row r="31" spans="2:4" ht="22.5">
      <c r="D31" s="3" t="s">
        <v>19</v>
      </c>
    </row>
    <row r="32" spans="2:4" ht="22.5">
      <c r="D32" s="3" t="s">
        <v>20</v>
      </c>
    </row>
    <row r="33" spans="1:6" ht="22.5">
      <c r="D33" s="3" t="s">
        <v>1437</v>
      </c>
    </row>
    <row r="34" spans="1:6" ht="22.5">
      <c r="D34" s="3" t="s">
        <v>21</v>
      </c>
    </row>
    <row r="35" spans="1:6" ht="22.5">
      <c r="C35" s="3" t="s">
        <v>1439</v>
      </c>
    </row>
    <row r="38" spans="1:6" ht="15.75" thickBot="1">
      <c r="B38" s="200" t="s">
        <v>1440</v>
      </c>
      <c r="C38" s="9"/>
      <c r="D38" s="9"/>
      <c r="E38" s="10"/>
    </row>
    <row r="39" spans="1:6">
      <c r="A39" s="11" t="s">
        <v>22</v>
      </c>
      <c r="B39" s="24" t="s">
        <v>23</v>
      </c>
      <c r="C39" s="25" t="s">
        <v>24</v>
      </c>
      <c r="D39" s="25"/>
      <c r="E39" s="26"/>
    </row>
    <row r="40" spans="1:6" ht="15.75" thickBot="1">
      <c r="B40" s="17"/>
      <c r="C40" s="18"/>
      <c r="D40" s="18" t="s">
        <v>25</v>
      </c>
      <c r="E40" s="19"/>
    </row>
    <row r="41" spans="1:6">
      <c r="A41" s="11" t="s">
        <v>22</v>
      </c>
      <c r="B41" s="24" t="s">
        <v>26</v>
      </c>
      <c r="C41" s="25" t="s">
        <v>957</v>
      </c>
      <c r="D41" s="25"/>
      <c r="E41" s="26"/>
    </row>
    <row r="42" spans="1:6" ht="15.75" thickBot="1">
      <c r="B42" s="13"/>
      <c r="C42" s="14"/>
      <c r="D42" s="14" t="s">
        <v>29</v>
      </c>
      <c r="E42" s="15"/>
    </row>
    <row r="43" spans="1:6">
      <c r="A43" s="2" t="s">
        <v>30</v>
      </c>
      <c r="B43" s="200" t="s">
        <v>28</v>
      </c>
      <c r="C43" s="199" t="s">
        <v>1432</v>
      </c>
      <c r="D43" s="25"/>
      <c r="E43" s="26"/>
    </row>
    <row r="44" spans="1:6">
      <c r="A44" s="2"/>
      <c r="B44" s="21"/>
      <c r="C44" s="16"/>
      <c r="D44" s="16" t="s">
        <v>31</v>
      </c>
      <c r="E44" s="20"/>
      <c r="F44" s="22"/>
    </row>
    <row r="45" spans="1:6">
      <c r="A45" s="2"/>
      <c r="B45" s="21"/>
      <c r="C45" s="16"/>
      <c r="D45" s="16" t="s">
        <v>32</v>
      </c>
      <c r="E45" s="20"/>
    </row>
    <row r="46" spans="1:6">
      <c r="A46" s="2"/>
      <c r="B46" s="21"/>
      <c r="C46" s="16"/>
      <c r="D46" s="16" t="s">
        <v>33</v>
      </c>
      <c r="E46" s="20"/>
    </row>
    <row r="47" spans="1:6" ht="15.75" thickBot="1">
      <c r="A47" s="2"/>
      <c r="B47" s="21"/>
      <c r="C47" s="16"/>
      <c r="D47" s="16" t="s">
        <v>34</v>
      </c>
      <c r="E47" s="20"/>
    </row>
    <row r="48" spans="1:6">
      <c r="A48" s="2"/>
      <c r="B48" s="200" t="s">
        <v>958</v>
      </c>
      <c r="C48" s="199" t="s">
        <v>1438</v>
      </c>
      <c r="D48" s="25"/>
      <c r="E48" s="26"/>
    </row>
    <row r="49" spans="1:5" ht="15.75" thickBot="1">
      <c r="A49" s="2"/>
      <c r="B49" s="21"/>
      <c r="C49" s="16"/>
      <c r="D49" s="16"/>
      <c r="E49" s="20"/>
    </row>
    <row r="50" spans="1:5">
      <c r="B50" s="204" t="s">
        <v>1433</v>
      </c>
      <c r="C50" s="12" t="s">
        <v>27</v>
      </c>
      <c r="D50" s="9"/>
      <c r="E50" s="10"/>
    </row>
    <row r="51" spans="1:5" ht="15.75" thickBot="1">
      <c r="B51" s="17"/>
      <c r="C51" s="18"/>
      <c r="D51" s="18" t="s">
        <v>25</v>
      </c>
      <c r="E51" s="19"/>
    </row>
    <row r="58" spans="1:5">
      <c r="B58" s="206"/>
    </row>
  </sheetData>
  <mergeCells count="1">
    <mergeCell ref="B19:B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409"/>
  <sheetViews>
    <sheetView topLeftCell="A385" zoomScale="40" zoomScaleNormal="40" workbookViewId="0">
      <selection activeCell="P9" sqref="P9"/>
    </sheetView>
  </sheetViews>
  <sheetFormatPr baseColWidth="10" defaultColWidth="11" defaultRowHeight="15"/>
  <cols>
    <col min="1" max="1" width="11" style="2"/>
    <col min="2" max="2" width="40.140625" style="2" customWidth="1"/>
    <col min="3" max="3" width="27.5703125" style="2" customWidth="1"/>
    <col min="4" max="4" width="38.28515625" style="2" customWidth="1"/>
    <col min="5" max="5" width="63" style="2" customWidth="1"/>
    <col min="6" max="6" width="22.28515625" style="2" customWidth="1"/>
    <col min="7" max="7" width="48.7109375" style="2" customWidth="1"/>
    <col min="8" max="8" width="75" style="2" customWidth="1"/>
    <col min="9" max="9" width="28" style="2" customWidth="1"/>
    <col min="10" max="10" width="13.140625" style="2" customWidth="1"/>
    <col min="11" max="11" width="10.7109375" style="2" customWidth="1"/>
    <col min="12" max="12" width="34.5703125" style="2" customWidth="1"/>
    <col min="13" max="16384" width="11" style="2"/>
  </cols>
  <sheetData>
    <row r="3" spans="2:11" ht="15.75" thickBot="1"/>
    <row r="4" spans="2:11" ht="30.75" thickBot="1">
      <c r="B4" s="56" t="s">
        <v>35</v>
      </c>
      <c r="C4" s="57"/>
      <c r="D4" s="57"/>
      <c r="E4" s="57"/>
      <c r="F4" s="57"/>
      <c r="G4" s="57"/>
      <c r="H4" s="57"/>
      <c r="I4" s="57"/>
      <c r="J4" s="57"/>
      <c r="K4" s="58"/>
    </row>
    <row r="5" spans="2:11">
      <c r="B5" s="21"/>
      <c r="C5" s="32"/>
      <c r="D5" s="32"/>
      <c r="E5" s="32"/>
      <c r="F5" s="32"/>
      <c r="G5" s="32"/>
      <c r="H5" s="32"/>
      <c r="I5" s="32"/>
      <c r="J5" s="32"/>
      <c r="K5" s="20"/>
    </row>
    <row r="6" spans="2:11" ht="23.25">
      <c r="B6" s="164" t="s">
        <v>1085</v>
      </c>
      <c r="C6" s="32"/>
      <c r="D6" s="32"/>
      <c r="E6" s="32"/>
      <c r="F6" s="32"/>
      <c r="G6" s="32"/>
      <c r="H6" s="32"/>
      <c r="I6" s="32"/>
      <c r="J6" s="32"/>
      <c r="K6" s="20"/>
    </row>
    <row r="7" spans="2:11">
      <c r="B7" s="21"/>
      <c r="D7" s="28"/>
      <c r="E7" s="32"/>
      <c r="F7" s="32"/>
      <c r="G7" s="32"/>
      <c r="H7" s="32"/>
      <c r="I7" s="32"/>
      <c r="J7" s="32"/>
      <c r="K7" s="20"/>
    </row>
    <row r="8" spans="2:11">
      <c r="B8" s="21"/>
      <c r="D8" s="28"/>
      <c r="E8" s="32"/>
      <c r="F8" s="32"/>
      <c r="G8" s="32"/>
      <c r="H8" s="32"/>
      <c r="I8" s="32"/>
      <c r="J8" s="32"/>
      <c r="K8" s="20"/>
    </row>
    <row r="9" spans="2:11" ht="120">
      <c r="B9" s="33" t="s">
        <v>1129</v>
      </c>
      <c r="C9" s="163" t="s">
        <v>1081</v>
      </c>
      <c r="D9" s="28"/>
      <c r="E9" s="32"/>
      <c r="F9" s="32"/>
      <c r="G9" s="32"/>
      <c r="H9" s="32"/>
      <c r="I9" s="32"/>
      <c r="J9" s="32"/>
      <c r="K9" s="20"/>
    </row>
    <row r="10" spans="2:11" ht="22.5">
      <c r="B10" s="33"/>
      <c r="C10" s="163"/>
      <c r="D10" s="28"/>
      <c r="E10" s="32"/>
      <c r="F10" s="32"/>
      <c r="G10" s="32"/>
      <c r="H10" s="32"/>
      <c r="I10" s="32"/>
      <c r="J10" s="32"/>
      <c r="K10" s="20"/>
    </row>
    <row r="11" spans="2:11" ht="22.5">
      <c r="B11" s="33"/>
      <c r="C11" s="163"/>
      <c r="D11" s="28"/>
      <c r="E11" s="32"/>
      <c r="F11" s="32"/>
      <c r="G11" s="32"/>
      <c r="H11" s="32"/>
      <c r="I11" s="32"/>
      <c r="J11" s="32"/>
      <c r="K11" s="20"/>
    </row>
    <row r="12" spans="2:11" ht="22.5">
      <c r="B12" s="33" t="s">
        <v>1078</v>
      </c>
      <c r="C12" s="68" t="s">
        <v>1116</v>
      </c>
      <c r="D12" s="68" t="s">
        <v>1117</v>
      </c>
      <c r="E12" s="68" t="s">
        <v>1118</v>
      </c>
      <c r="F12" s="68" t="s">
        <v>1114</v>
      </c>
      <c r="G12" s="151"/>
      <c r="H12" s="32"/>
      <c r="I12" s="32"/>
      <c r="J12" s="32"/>
      <c r="K12" s="20"/>
    </row>
    <row r="13" spans="2:11" ht="45">
      <c r="B13" s="33"/>
      <c r="C13" s="69" t="s">
        <v>1084</v>
      </c>
      <c r="D13" s="69" t="s">
        <v>66</v>
      </c>
      <c r="E13" s="65" t="s">
        <v>1111</v>
      </c>
      <c r="F13" s="198" t="s">
        <v>1429</v>
      </c>
      <c r="G13" s="152"/>
      <c r="H13" s="32"/>
      <c r="I13" s="32"/>
      <c r="J13" s="32"/>
      <c r="K13" s="20"/>
    </row>
    <row r="14" spans="2:11" ht="45">
      <c r="B14" s="33"/>
      <c r="C14" s="69" t="s">
        <v>1108</v>
      </c>
      <c r="D14" s="69" t="s">
        <v>15</v>
      </c>
      <c r="E14" s="65" t="s">
        <v>1112</v>
      </c>
      <c r="F14" s="67" t="s">
        <v>1115</v>
      </c>
      <c r="G14" s="153"/>
      <c r="H14" s="32"/>
      <c r="I14" s="32"/>
      <c r="J14" s="32"/>
      <c r="K14" s="20"/>
    </row>
    <row r="15" spans="2:11" ht="45">
      <c r="B15" s="33"/>
      <c r="C15" s="69" t="s">
        <v>1109</v>
      </c>
      <c r="D15" s="69" t="s">
        <v>16</v>
      </c>
      <c r="E15" s="65" t="s">
        <v>1113</v>
      </c>
      <c r="F15" s="66" t="s">
        <v>936</v>
      </c>
      <c r="G15" s="152"/>
      <c r="H15" s="32"/>
      <c r="I15" s="32"/>
      <c r="J15" s="32"/>
      <c r="K15" s="20"/>
    </row>
    <row r="16" spans="2:11" ht="22.5">
      <c r="B16" s="33"/>
      <c r="C16" s="59"/>
      <c r="D16" s="59"/>
      <c r="E16" s="32"/>
      <c r="F16" s="27"/>
      <c r="G16" s="27"/>
      <c r="H16" s="32"/>
      <c r="I16" s="32"/>
      <c r="J16" s="32"/>
      <c r="K16" s="20"/>
    </row>
    <row r="17" spans="1:11" ht="22.5">
      <c r="B17" s="33"/>
      <c r="C17" s="163"/>
      <c r="D17" s="59"/>
      <c r="E17" s="32"/>
      <c r="F17" s="32"/>
      <c r="G17" s="32"/>
      <c r="H17" s="32"/>
      <c r="I17" s="32"/>
      <c r="J17" s="32"/>
      <c r="K17" s="20"/>
    </row>
    <row r="18" spans="1:11" ht="22.5">
      <c r="B18" s="33"/>
      <c r="C18" s="59"/>
      <c r="D18" s="59"/>
      <c r="E18" s="32"/>
      <c r="F18" s="32"/>
      <c r="G18" s="32"/>
      <c r="H18" s="32"/>
      <c r="I18" s="32"/>
      <c r="J18" s="32"/>
      <c r="K18" s="20"/>
    </row>
    <row r="19" spans="1:11" ht="22.5">
      <c r="B19" s="33"/>
      <c r="C19" s="59"/>
      <c r="D19" s="59"/>
      <c r="E19" s="32"/>
      <c r="F19" s="32"/>
      <c r="G19" s="32"/>
      <c r="H19" s="32"/>
      <c r="I19" s="32"/>
      <c r="J19" s="32"/>
      <c r="K19" s="20"/>
    </row>
    <row r="20" spans="1:11" ht="15.75" thickBot="1">
      <c r="B20" s="21"/>
      <c r="C20" s="32"/>
      <c r="D20" s="32"/>
      <c r="E20" s="32"/>
      <c r="F20" s="32"/>
      <c r="G20" s="32"/>
      <c r="H20" s="32"/>
      <c r="I20" s="32"/>
      <c r="J20" s="32"/>
      <c r="K20" s="20"/>
    </row>
    <row r="21" spans="1:11" ht="30">
      <c r="B21" s="62" t="s">
        <v>36</v>
      </c>
      <c r="C21" s="30"/>
      <c r="D21" s="30"/>
      <c r="E21" s="30"/>
      <c r="F21" s="30"/>
      <c r="G21" s="30"/>
      <c r="H21" s="30"/>
      <c r="I21" s="30"/>
      <c r="J21" s="30"/>
      <c r="K21" s="31"/>
    </row>
    <row r="22" spans="1:11">
      <c r="B22" s="21"/>
      <c r="C22" s="32"/>
      <c r="D22" s="32"/>
      <c r="E22" s="32"/>
      <c r="F22" s="32"/>
      <c r="G22" s="32"/>
      <c r="H22" s="32"/>
      <c r="I22" s="32"/>
      <c r="J22" s="32"/>
      <c r="K22" s="20"/>
    </row>
    <row r="23" spans="1:11" ht="15.75" thickBot="1">
      <c r="B23" s="21"/>
      <c r="C23" s="32"/>
      <c r="D23" s="32"/>
      <c r="E23" s="32"/>
      <c r="F23" s="32"/>
      <c r="G23" s="32"/>
      <c r="H23" s="32"/>
      <c r="I23" s="32"/>
      <c r="J23" s="32"/>
      <c r="K23" s="20"/>
    </row>
    <row r="24" spans="1:11" ht="27">
      <c r="B24" s="172" t="s">
        <v>37</v>
      </c>
      <c r="C24" s="30"/>
      <c r="D24" s="30"/>
      <c r="E24" s="30"/>
      <c r="F24" s="30"/>
      <c r="G24" s="30"/>
      <c r="H24" s="30"/>
      <c r="I24" s="30"/>
      <c r="J24" s="30"/>
      <c r="K24" s="31"/>
    </row>
    <row r="25" spans="1:11">
      <c r="B25" s="21"/>
      <c r="C25" s="32"/>
      <c r="D25" s="32"/>
      <c r="E25" s="32"/>
      <c r="F25" s="32"/>
      <c r="G25" s="32"/>
      <c r="H25" s="32"/>
      <c r="I25" s="32"/>
      <c r="J25" s="32"/>
      <c r="K25" s="20"/>
    </row>
    <row r="26" spans="1:11">
      <c r="A26" s="1"/>
      <c r="B26" s="35" t="s">
        <v>38</v>
      </c>
      <c r="C26" s="36" t="s">
        <v>39</v>
      </c>
      <c r="D26" s="36" t="s">
        <v>13</v>
      </c>
      <c r="E26" s="36" t="s">
        <v>1128</v>
      </c>
      <c r="F26" s="36" t="s">
        <v>842</v>
      </c>
      <c r="G26" s="37" t="s">
        <v>11</v>
      </c>
      <c r="H26" s="37" t="s">
        <v>41</v>
      </c>
      <c r="I26" s="37" t="s">
        <v>42</v>
      </c>
      <c r="J26" s="37" t="s">
        <v>43</v>
      </c>
      <c r="K26" s="38" t="s">
        <v>44</v>
      </c>
    </row>
    <row r="27" spans="1:11" ht="54" customHeight="1">
      <c r="A27" s="4"/>
      <c r="B27" s="39" t="s">
        <v>45</v>
      </c>
      <c r="C27" s="40" t="s">
        <v>46</v>
      </c>
      <c r="D27" s="40" t="s">
        <v>47</v>
      </c>
      <c r="E27" s="40" t="s">
        <v>1127</v>
      </c>
      <c r="F27" s="40" t="s">
        <v>1084</v>
      </c>
      <c r="G27" s="40" t="str">
        <f xml:space="preserve"> IF(F27=$C$13,"Ok","Aucun document ni enregistrement ne démontre l'identification des enjeux internes et externes. L'entreprise ne peut pas démontrer sa compréhension des évolutions du marché ou des technologies influençant ses activités")</f>
        <v>Ok</v>
      </c>
      <c r="H27" s="29" t="str">
        <f xml:space="preserve"> IF(F27=$C$13,"Ok à maintenir","Mettre en place une démarche de veille stratégique et d'innovation. Formaliser les résultats dans une cartographie des enjeux et opportunités d'innovation")</f>
        <v>Ok à maintenir</v>
      </c>
      <c r="I27" s="41" t="str">
        <f xml:space="preserve"> IF(F27=$C$13,"Direction Générale / Responsable Innovation","Direction Générale / Responsable Innovation")</f>
        <v>Direction Générale / Responsable Innovation</v>
      </c>
      <c r="J27" s="29" t="str">
        <f xml:space="preserve"> IF(F27=$C$13,"-","30jours")</f>
        <v>-</v>
      </c>
      <c r="K27" s="42" t="str">
        <f xml:space="preserve"> IF(F27=$C$13,"-","Ouverte")</f>
        <v>-</v>
      </c>
    </row>
    <row r="28" spans="1:11" ht="45">
      <c r="A28" s="4"/>
      <c r="B28" s="39" t="s">
        <v>49</v>
      </c>
      <c r="C28" s="40" t="s">
        <v>50</v>
      </c>
      <c r="D28" s="40" t="s">
        <v>51</v>
      </c>
      <c r="E28" s="40" t="s">
        <v>52</v>
      </c>
      <c r="F28" s="40" t="s">
        <v>1108</v>
      </c>
      <c r="G28" s="40" t="str">
        <f xml:space="preserve"> IF(F28=$C$13,"Ok","La dernière analyse du contexte n'a pas été actualisée malgré les évolutions du marché, des technologies et de la réglementation")</f>
        <v>La dernière analyse du contexte n'a pas été actualisée malgré les évolutions du marché, des technologies et de la réglementation</v>
      </c>
      <c r="H28" s="29" t="str">
        <f xml:space="preserve"> IF(F28=$C$13,"Ok à maintenir","Intégrer la revue des enjeux et opportunités d'innovation dans la revue de direction semestrielle afin d'évaluer l'impact des évolutions du secteur sur la stratégie et les activités du bureau d'études.")</f>
        <v>Intégrer la revue des enjeux et opportunités d'innovation dans la revue de direction semestrielle afin d'évaluer l'impact des évolutions du secteur sur la stratégie et les activités du bureau d'études.</v>
      </c>
      <c r="I28" s="41" t="s">
        <v>53</v>
      </c>
      <c r="J28" s="29" t="str">
        <f xml:space="preserve"> IF(F28=$C$13,"-","30jours")</f>
        <v>30jours</v>
      </c>
      <c r="K28" s="42" t="str">
        <f xml:space="preserve"> IF(F28=$C$13,"-","Ouverte")</f>
        <v>Ouverte</v>
      </c>
    </row>
    <row r="29" spans="1:11" ht="45">
      <c r="A29" s="4"/>
      <c r="B29" s="39" t="s">
        <v>54</v>
      </c>
      <c r="C29" s="43" t="s">
        <v>55</v>
      </c>
      <c r="D29" s="40" t="s">
        <v>56</v>
      </c>
      <c r="E29" s="40" t="s">
        <v>57</v>
      </c>
      <c r="F29" s="40" t="s">
        <v>1108</v>
      </c>
      <c r="G29" s="40" t="str">
        <f xml:space="preserve"> IF(F29=$C$13,"Ok","Aucun risque ou opportunité lié aux nouvelles technologies aux évolutions réglementaires ou aux changements des besoins des clients n'est formalisé")</f>
        <v>Aucun risque ou opportunité lié aux nouvelles technologies aux évolutions réglementaires ou aux changements des besoins des clients n'est formalisé</v>
      </c>
      <c r="H29" s="29" t="str">
        <f xml:space="preserve"> IF(F29=$C$13,"Ok à maintenir","Mettre en place un registre des risques et opportunités d'innovation intégrant les évolutions technologiques, réglementaires, organisationnelles et les possibilités de création de nouveaux services ou méthodes de travail innovantes.")</f>
        <v>Mettre en place un registre des risques et opportunités d'innovation intégrant les évolutions technologiques, réglementaires, organisationnelles et les possibilités de création de nouveaux services ou méthodes de travail innovantes.</v>
      </c>
      <c r="I29" s="41" t="s">
        <v>58</v>
      </c>
      <c r="J29" s="29" t="str">
        <f xml:space="preserve"> IF(F29=$C$13,"-","30jours")</f>
        <v>30jours</v>
      </c>
      <c r="K29" s="42" t="str">
        <f xml:space="preserve"> IF(F29=$C$13,"-","Ouverte")</f>
        <v>Ouverte</v>
      </c>
    </row>
    <row r="30" spans="1:11" ht="60">
      <c r="A30" s="4"/>
      <c r="B30" s="39" t="s">
        <v>59</v>
      </c>
      <c r="C30" s="40" t="s">
        <v>46</v>
      </c>
      <c r="D30" s="40" t="s">
        <v>60</v>
      </c>
      <c r="E30" s="40" t="s">
        <v>61</v>
      </c>
      <c r="F30" s="40" t="s">
        <v>1108</v>
      </c>
      <c r="G30" s="40" t="str">
        <f xml:space="preserve"> IF(F30=$C$13,"Ok","Les objectifs qualité ne sont pas reliés aux objectifs stratégiques de développement et d'innovation de l'entreprise")</f>
        <v>Les objectifs qualité ne sont pas reliés aux objectifs stratégiques de développement et d'innovation de l'entreprise</v>
      </c>
      <c r="H30" s="29" t="str">
        <f xml:space="preserve"> IF(F30=$C$13,"Ok à maintenir","Élaborer une feuille de route innovation alignée avec la stratégie de l'entreprise et intégrer des objectifs d'innovation mesurables dans le SMQ (nouveaux services, digitalisation, amélioration des processus, partenariats technologiques, etc.).")</f>
        <v>Élaborer une feuille de route innovation alignée avec la stratégie de l'entreprise et intégrer des objectifs d'innovation mesurables dans le SMQ (nouveaux services, digitalisation, amélioration des processus, partenariats technologiques, etc.).</v>
      </c>
      <c r="I30" s="41" t="s">
        <v>62</v>
      </c>
      <c r="J30" s="29" t="str">
        <f xml:space="preserve"> IF(F30=$C$13,"-","30jours")</f>
        <v>30jours</v>
      </c>
      <c r="K30" s="42" t="str">
        <f xml:space="preserve"> IF(F30=$C$13,"-","Ouverte")</f>
        <v>Ouverte</v>
      </c>
    </row>
    <row r="31" spans="1:11">
      <c r="B31" s="173" t="s">
        <v>63</v>
      </c>
      <c r="C31" s="166"/>
      <c r="D31" s="166"/>
      <c r="E31" s="166"/>
      <c r="F31" s="166"/>
      <c r="G31" s="167"/>
      <c r="H31" s="168"/>
      <c r="I31" s="166"/>
      <c r="J31" s="168"/>
      <c r="K31" s="174"/>
    </row>
    <row r="32" spans="1:11" ht="27">
      <c r="B32" s="175" t="s">
        <v>64</v>
      </c>
      <c r="C32" s="165"/>
      <c r="D32" s="165"/>
      <c r="E32" s="165"/>
      <c r="F32" s="165"/>
      <c r="G32" s="169"/>
      <c r="H32" s="170"/>
      <c r="I32" s="165"/>
      <c r="J32" s="170"/>
      <c r="K32" s="176"/>
    </row>
    <row r="33" spans="2:11">
      <c r="B33" s="21"/>
      <c r="C33" s="32"/>
      <c r="D33" s="32"/>
      <c r="E33" s="32"/>
      <c r="F33" s="32"/>
      <c r="G33" s="40"/>
      <c r="H33" s="29"/>
      <c r="I33" s="32"/>
      <c r="J33" s="29"/>
      <c r="K33" s="42"/>
    </row>
    <row r="34" spans="2:11">
      <c r="B34" s="35" t="s">
        <v>38</v>
      </c>
      <c r="C34" s="36" t="s">
        <v>39</v>
      </c>
      <c r="D34" s="36" t="s">
        <v>13</v>
      </c>
      <c r="E34" s="36" t="s">
        <v>1128</v>
      </c>
      <c r="F34" s="36" t="s">
        <v>842</v>
      </c>
      <c r="G34" s="37" t="s">
        <v>11</v>
      </c>
      <c r="H34" s="37" t="s">
        <v>41</v>
      </c>
      <c r="I34" s="37" t="s">
        <v>42</v>
      </c>
      <c r="J34" s="37" t="s">
        <v>43</v>
      </c>
      <c r="K34" s="38" t="s">
        <v>44</v>
      </c>
    </row>
    <row r="35" spans="2:11" ht="60">
      <c r="B35" s="39" t="s">
        <v>68</v>
      </c>
      <c r="C35" s="40" t="s">
        <v>69</v>
      </c>
      <c r="D35" s="40" t="s">
        <v>70</v>
      </c>
      <c r="E35" s="40" t="s">
        <v>71</v>
      </c>
      <c r="F35" s="40" t="s">
        <v>1083</v>
      </c>
      <c r="G35" s="40" t="str">
        <f xml:space="preserve"> IF(F35=$C$13,"Ok","Manque d'analyse formalisée des autres parties intéressées (collaborateurs, partenaires technologiques, universités, organismes de certification, autorités, fournisseurs stratégiques).")</f>
        <v>Manque d'analyse formalisée des autres parties intéressées (collaborateurs, partenaires technologiques, universités, organismes de certification, autorités, fournisseurs stratégiques).</v>
      </c>
      <c r="H35" s="29" t="str">
        <f xml:space="preserve"> IF(F35=$C$13,"Ok à maintenir","Réaliser une cartographie des parties intéressées incluant l'écosystème d'innovation de l'entreprise et identifier leurs attentes en matière d'innovation et de création de valeur.")</f>
        <v>Réaliser une cartographie des parties intéressées incluant l'écosystème d'innovation de l'entreprise et identifier leurs attentes en matière d'innovation et de création de valeur.</v>
      </c>
      <c r="I35" s="41" t="s">
        <v>72</v>
      </c>
      <c r="J35" s="29" t="str">
        <f xml:space="preserve"> IF(F35=$C$13,"-","30jours")</f>
        <v>30jours</v>
      </c>
      <c r="K35" s="42" t="str">
        <f xml:space="preserve"> IF(F35=$C$13,"-","Ouverte")</f>
        <v>Ouverte</v>
      </c>
    </row>
    <row r="36" spans="2:11" ht="45">
      <c r="B36" s="39" t="s">
        <v>73</v>
      </c>
      <c r="C36" s="43" t="s">
        <v>74</v>
      </c>
      <c r="D36" s="40" t="s">
        <v>75</v>
      </c>
      <c r="E36" s="40" t="s">
        <v>76</v>
      </c>
      <c r="F36" s="40" t="s">
        <v>1083</v>
      </c>
      <c r="G36" s="40" t="str">
        <f xml:space="preserve"> IF(F36=$C$13,"Ok","Plusieurs projets démarrent sans formalisation complète des besoins, contraintes et attentes du client.")</f>
        <v>Plusieurs projets démarrent sans formalisation complète des besoins, contraintes et attentes du client.</v>
      </c>
      <c r="H36" s="29" t="str">
        <f xml:space="preserve"> IF(F36=$C$13,"Ok à maintenir","Mettre en place un processus structuré de capture de la voix du client intégrant les besoins actuels et futurs afin d'identifier les opportunités d'innovation et les nouveaux services à forte valeur ajoutée.")</f>
        <v>Mettre en place un processus structuré de capture de la voix du client intégrant les besoins actuels et futurs afin d'identifier les opportunités d'innovation et les nouveaux services à forte valeur ajoutée.</v>
      </c>
      <c r="I36" s="41" t="s">
        <v>77</v>
      </c>
      <c r="J36" s="29" t="str">
        <f xml:space="preserve"> IF(F36=$C$13,"-","30jours")</f>
        <v>30jours</v>
      </c>
      <c r="K36" s="42" t="str">
        <f xml:space="preserve"> IF(F36=$C$13,"-","Ouverte")</f>
        <v>Ouverte</v>
      </c>
    </row>
    <row r="37" spans="2:11" ht="45">
      <c r="B37" s="39" t="s">
        <v>78</v>
      </c>
      <c r="C37" s="40" t="s">
        <v>79</v>
      </c>
      <c r="D37" s="40" t="s">
        <v>80</v>
      </c>
      <c r="E37" s="40" t="s">
        <v>81</v>
      </c>
      <c r="F37" s="40" t="s">
        <v>1083</v>
      </c>
      <c r="G37" s="40" t="str">
        <f xml:space="preserve"> IF(F37=$C$13,"Ok","Aucun mécanisme formalisé de surveillance des évolutions réglementaires, normatives ou techniques.")</f>
        <v>Aucun mécanisme formalisé de surveillance des évolutions réglementaires, normatives ou techniques.</v>
      </c>
      <c r="H37" s="29" t="str">
        <f xml:space="preserve"> IF(F37=$C$13,"Ok à maintenir","Déployer une plateforme de veille réglementaire et technologique permettant d'anticiper les évolutions du secteur et d'identifier les opportunités d'innovation associées aux nouvelles exigences.")</f>
        <v>Déployer une plateforme de veille réglementaire et technologique permettant d'anticiper les évolutions du secteur et d'identifier les opportunités d'innovation associées aux nouvelles exigences.</v>
      </c>
      <c r="I37" s="41" t="s">
        <v>82</v>
      </c>
      <c r="J37" s="29" t="str">
        <f xml:space="preserve"> IF(F37=$C$13,"-","30jours")</f>
        <v>30jours</v>
      </c>
      <c r="K37" s="42" t="str">
        <f xml:space="preserve"> IF(F37=$C$13,"-","Ouverte")</f>
        <v>Ouverte</v>
      </c>
    </row>
    <row r="38" spans="2:11" ht="45">
      <c r="B38" s="39" t="s">
        <v>83</v>
      </c>
      <c r="C38" s="40" t="s">
        <v>84</v>
      </c>
      <c r="D38" s="40" t="s">
        <v>85</v>
      </c>
      <c r="E38" s="40" t="s">
        <v>86</v>
      </c>
      <c r="F38" s="40" t="s">
        <v>1083</v>
      </c>
      <c r="G38" s="40" t="str">
        <f xml:space="preserve"> IF(F38=$C$13,"Ok","Aucun processus permettant d'évaluer les capacités techniques, technologiques ou innovantes des fournisseurs stratégiques.")</f>
        <v>Aucun processus permettant d'évaluer les capacités techniques, technologiques ou innovantes des fournisseurs stratégiques.</v>
      </c>
      <c r="H38" s="29" t="str">
        <f xml:space="preserve"> IF(F38=$C$13,"Ok à maintenir","Mettre en place un processus d'évaluation des fournisseurs intégrant leur capacité d'innovation, leur potentiel de co-développement et leur contribution à l'amélioration des services du bureau d'études.")</f>
        <v>Mettre en place un processus d'évaluation des fournisseurs intégrant leur capacité d'innovation, leur potentiel de co-développement et leur contribution à l'amélioration des services du bureau d'études.</v>
      </c>
      <c r="I38" s="41" t="s">
        <v>87</v>
      </c>
      <c r="J38" s="29" t="str">
        <f xml:space="preserve"> IF(F38=$C$13,"-","30jours")</f>
        <v>30jours</v>
      </c>
      <c r="K38" s="42" t="str">
        <f xml:space="preserve"> IF(F38=$C$13,"-","Ouverte")</f>
        <v>Ouverte</v>
      </c>
    </row>
    <row r="39" spans="2:11">
      <c r="B39" s="177" t="s">
        <v>88</v>
      </c>
      <c r="C39" s="166"/>
      <c r="D39" s="166"/>
      <c r="E39" s="166"/>
      <c r="F39" s="166"/>
      <c r="G39" s="167"/>
      <c r="H39" s="168"/>
      <c r="I39" s="166"/>
      <c r="J39" s="168"/>
      <c r="K39" s="174"/>
    </row>
    <row r="40" spans="2:11" ht="27">
      <c r="B40" s="175" t="s">
        <v>89</v>
      </c>
      <c r="C40" s="165"/>
      <c r="D40" s="165"/>
      <c r="E40" s="165"/>
      <c r="F40" s="165"/>
      <c r="G40" s="169"/>
      <c r="H40" s="170"/>
      <c r="I40" s="165"/>
      <c r="J40" s="170"/>
      <c r="K40" s="176"/>
    </row>
    <row r="41" spans="2:11">
      <c r="B41" s="21"/>
      <c r="C41" s="32"/>
      <c r="D41" s="32"/>
      <c r="E41" s="32"/>
      <c r="F41" s="32"/>
      <c r="G41" s="40"/>
      <c r="H41" s="29"/>
      <c r="I41" s="32"/>
      <c r="J41" s="29"/>
      <c r="K41" s="42"/>
    </row>
    <row r="42" spans="2:11">
      <c r="B42" s="35" t="s">
        <v>38</v>
      </c>
      <c r="C42" s="36" t="s">
        <v>39</v>
      </c>
      <c r="D42" s="36" t="s">
        <v>13</v>
      </c>
      <c r="E42" s="36" t="s">
        <v>1128</v>
      </c>
      <c r="F42" s="36" t="s">
        <v>842</v>
      </c>
      <c r="G42" s="37" t="s">
        <v>11</v>
      </c>
      <c r="H42" s="37" t="s">
        <v>41</v>
      </c>
      <c r="I42" s="37" t="s">
        <v>42</v>
      </c>
      <c r="J42" s="37" t="s">
        <v>43</v>
      </c>
      <c r="K42" s="38" t="s">
        <v>44</v>
      </c>
    </row>
    <row r="43" spans="2:11" ht="45">
      <c r="B43" s="39" t="s">
        <v>90</v>
      </c>
      <c r="C43" s="40" t="s">
        <v>46</v>
      </c>
      <c r="D43" s="40" t="s">
        <v>91</v>
      </c>
      <c r="E43" s="40" t="s">
        <v>92</v>
      </c>
      <c r="F43" s="40" t="s">
        <v>1083</v>
      </c>
      <c r="G43" s="40" t="str">
        <f xml:space="preserve"> IF(F43=$C$13,"Ok","Aucun document ne précise les activités, sites, services et processus couverts par le SMQ.")</f>
        <v>Aucun document ne précise les activités, sites, services et processus couverts par le SMQ.</v>
      </c>
      <c r="H43" s="29" t="str">
        <f xml:space="preserve"> IF(F43=$C$13,"Ok à maintenir","Définir le périmètre du SMQ en intégrant les activités d'innovation, de veille, de développement de nouveaux services et de transformation digitale afin de soutenir la stratégie de croissance de l'entreprise.")</f>
        <v>Définir le périmètre du SMQ en intégrant les activités d'innovation, de veille, de développement de nouveaux services et de transformation digitale afin de soutenir la stratégie de croissance de l'entreprise.</v>
      </c>
      <c r="I43" s="41" t="s">
        <v>62</v>
      </c>
      <c r="J43" s="29" t="str">
        <f xml:space="preserve"> IF(F43=$C$13,"-","30jours")</f>
        <v>30jours</v>
      </c>
      <c r="K43" s="42" t="str">
        <f xml:space="preserve"> IF(F43=$C$13,"-","Ouverte")</f>
        <v>Ouverte</v>
      </c>
    </row>
    <row r="44" spans="2:11" ht="45">
      <c r="B44" s="39" t="s">
        <v>93</v>
      </c>
      <c r="C44" s="40" t="s">
        <v>69</v>
      </c>
      <c r="D44" s="40" t="s">
        <v>94</v>
      </c>
      <c r="E44" s="40" t="s">
        <v>95</v>
      </c>
      <c r="F44" s="40" t="s">
        <v>1083</v>
      </c>
      <c r="G44" s="40" t="str">
        <f xml:space="preserve"> IF(F44=$C$13,"Ok","Certaines activités ayant un impact direct sur la satisfaction client ne sont pas couvertes par le système.")</f>
        <v>Certaines activités ayant un impact direct sur la satisfaction client ne sont pas couvertes par le système.</v>
      </c>
      <c r="H44" s="29" t="str">
        <f xml:space="preserve"> IF(F44=$C$13,"Ok à maintenir","Réaliser une analyse de la chaîne de valeur afin d'intégrer l'ensemble des activités créatrices de valeur, y compris les activités d'innovation, de R&amp;D et d'amélioration continue.")</f>
        <v>Réaliser une analyse de la chaîne de valeur afin d'intégrer l'ensemble des activités créatrices de valeur, y compris les activités d'innovation, de R&amp;D et d'amélioration continue.</v>
      </c>
      <c r="I44" s="41" t="s">
        <v>53</v>
      </c>
      <c r="J44" s="29" t="str">
        <f xml:space="preserve"> IF(F44=$C$13,"-","30jours")</f>
        <v>30jours</v>
      </c>
      <c r="K44" s="42" t="str">
        <f xml:space="preserve"> IF(F44=$C$13,"-","Ouverte")</f>
        <v>Ouverte</v>
      </c>
    </row>
    <row r="45" spans="2:11" ht="45">
      <c r="B45" s="178" t="s">
        <v>96</v>
      </c>
      <c r="C45" s="167" t="s">
        <v>97</v>
      </c>
      <c r="D45" s="167" t="s">
        <v>98</v>
      </c>
      <c r="E45" s="167" t="s">
        <v>99</v>
      </c>
      <c r="F45" s="167" t="s">
        <v>1083</v>
      </c>
      <c r="G45" s="167" t="str">
        <f xml:space="preserve"> IF(F45=$C$13,"Ok","Les exclusions ne sont pas documentées et aucun élément ne justifie leur pertinence.")</f>
        <v>Les exclusions ne sont pas documentées et aucun élément ne justifie leur pertinence.</v>
      </c>
      <c r="H45" s="168" t="str">
        <f xml:space="preserve"> IF(F45=$C$13,"Ok à maintenir","Mettre en place une méthode d'évaluation des exclusions basée sur l'analyse des risques, des opportunités et de l'impact potentiel sur la capacité d'innovation et la satisfaction client.")</f>
        <v>Mettre en place une méthode d'évaluation des exclusions basée sur l'analyse des risques, des opportunités et de l'impact potentiel sur la capacité d'innovation et la satisfaction client.</v>
      </c>
      <c r="I45" s="171" t="s">
        <v>100</v>
      </c>
      <c r="J45" s="168" t="str">
        <f xml:space="preserve"> IF(F45=$C$13,"-","30jours")</f>
        <v>30jours</v>
      </c>
      <c r="K45" s="174" t="str">
        <f xml:space="preserve"> IF(F45=$C$13,"-","Ouverte")</f>
        <v>Ouverte</v>
      </c>
    </row>
    <row r="46" spans="2:11" ht="27">
      <c r="B46" s="34" t="s">
        <v>101</v>
      </c>
      <c r="C46" s="32"/>
      <c r="D46" s="32"/>
      <c r="E46" s="32"/>
      <c r="F46" s="32"/>
      <c r="G46" s="40"/>
      <c r="H46" s="29"/>
      <c r="I46" s="32"/>
      <c r="J46" s="29"/>
      <c r="K46" s="42"/>
    </row>
    <row r="47" spans="2:11">
      <c r="B47" s="21"/>
      <c r="C47" s="32"/>
      <c r="D47" s="32"/>
      <c r="E47" s="32"/>
      <c r="F47" s="32"/>
      <c r="G47" s="40"/>
      <c r="H47" s="29"/>
      <c r="I47" s="32"/>
      <c r="J47" s="29"/>
      <c r="K47" s="42"/>
    </row>
    <row r="48" spans="2:11">
      <c r="B48" s="35" t="s">
        <v>38</v>
      </c>
      <c r="C48" s="36" t="s">
        <v>39</v>
      </c>
      <c r="D48" s="36" t="s">
        <v>13</v>
      </c>
      <c r="E48" s="36" t="s">
        <v>1128</v>
      </c>
      <c r="F48" s="36" t="s">
        <v>842</v>
      </c>
      <c r="G48" s="37" t="s">
        <v>11</v>
      </c>
      <c r="H48" s="37" t="s">
        <v>41</v>
      </c>
      <c r="I48" s="37" t="s">
        <v>42</v>
      </c>
      <c r="J48" s="37" t="s">
        <v>43</v>
      </c>
      <c r="K48" s="38" t="s">
        <v>44</v>
      </c>
    </row>
    <row r="49" spans="2:11" ht="45">
      <c r="B49" s="39" t="s">
        <v>102</v>
      </c>
      <c r="C49" s="40" t="s">
        <v>69</v>
      </c>
      <c r="D49" s="40" t="s">
        <v>103</v>
      </c>
      <c r="E49" s="40" t="s">
        <v>104</v>
      </c>
      <c r="F49" s="40" t="s">
        <v>1083</v>
      </c>
      <c r="G49" s="40" t="str">
        <f xml:space="preserve"> IF(F49=$C$13,"Ok","Les processus du bureau d'études ne sont pas identifiés ni formalisés.")</f>
        <v>Les processus du bureau d'études ne sont pas identifiés ni formalisés.</v>
      </c>
      <c r="H49" s="29" t="str">
        <f xml:space="preserve"> IF(F49=$C$13,"Ok à maintenir","Élaborer une cartographie des processus intégrant les processus opérationnels, supports, management ainsi que les processus d'innovation, de veille et de gestion des idées.")</f>
        <v>Élaborer une cartographie des processus intégrant les processus opérationnels, supports, management ainsi que les processus d'innovation, de veille et de gestion des idées.</v>
      </c>
      <c r="I49" s="41" t="s">
        <v>53</v>
      </c>
      <c r="J49" s="29" t="str">
        <f xml:space="preserve"> IF(F49=$C$13,"-","30jours")</f>
        <v>30jours</v>
      </c>
      <c r="K49" s="42" t="str">
        <f xml:space="preserve"> IF(F49=$C$13,"-","Ouverte")</f>
        <v>Ouverte</v>
      </c>
    </row>
    <row r="50" spans="2:11" ht="45">
      <c r="B50" s="39" t="s">
        <v>105</v>
      </c>
      <c r="C50" s="40" t="s">
        <v>106</v>
      </c>
      <c r="D50" s="40" t="s">
        <v>107</v>
      </c>
      <c r="E50" s="40" t="s">
        <v>108</v>
      </c>
      <c r="F50" s="40" t="s">
        <v>1083</v>
      </c>
      <c r="G50" s="40" t="str">
        <f xml:space="preserve"> IF(F50=$C$13,"Ok","Les interfaces entre services ne sont pas définies, ce qui génère des ruptures d'information et des pertes d'efficacité.")</f>
        <v>Les interfaces entre services ne sont pas définies, ce qui génère des ruptures d'information et des pertes d'efficacité.</v>
      </c>
      <c r="H50" s="29" t="str">
        <f xml:space="preserve"> IF(F50=$C$13,"Ok à maintenir","Mettre en place une cartographie des interactions favorisant la collaboration transversale et la circulation des connaissances entre les différents métiers de l'entreprise.")</f>
        <v>Mettre en place une cartographie des interactions favorisant la collaboration transversale et la circulation des connaissances entre les différents métiers de l'entreprise.</v>
      </c>
      <c r="I50" s="41" t="s">
        <v>109</v>
      </c>
      <c r="J50" s="29" t="str">
        <f xml:space="preserve"> IF(F50=$C$13,"-","30jours")</f>
        <v>30jours</v>
      </c>
      <c r="K50" s="42" t="str">
        <f xml:space="preserve"> IF(F50=$C$13,"-","Ouverte")</f>
        <v>Ouverte</v>
      </c>
    </row>
    <row r="51" spans="2:11" ht="45">
      <c r="B51" s="39" t="s">
        <v>110</v>
      </c>
      <c r="C51" s="40" t="s">
        <v>106</v>
      </c>
      <c r="D51" s="40" t="s">
        <v>111</v>
      </c>
      <c r="E51" s="40" t="s">
        <v>112</v>
      </c>
      <c r="F51" s="40" t="s">
        <v>1083</v>
      </c>
      <c r="G51" s="40" t="str">
        <f xml:space="preserve"> IF(F51=$C$13,"Ok","Les performances des processus ne sont ni mesurées ni pilotées.")</f>
        <v>Les performances des processus ne sont ni mesurées ni pilotées.</v>
      </c>
      <c r="H51" s="29" t="str">
        <f xml:space="preserve"> IF(F51=$C$13,"Ok à maintenir","Définir des indicateurs de performance et d'innovation pour chaque processus (amélioration continue, idées proposées, digitalisation, satisfaction client, gains de productivité)")</f>
        <v>Définir des indicateurs de performance et d'innovation pour chaque processus (amélioration continue, idées proposées, digitalisation, satisfaction client, gains de productivité)</v>
      </c>
      <c r="I51" s="41" t="s">
        <v>109</v>
      </c>
      <c r="J51" s="29" t="str">
        <f xml:space="preserve"> IF(F51=$C$13,"-","30jours")</f>
        <v>30jours</v>
      </c>
      <c r="K51" s="42" t="str">
        <f xml:space="preserve"> IF(F51=$C$13,"-","Ouverte")</f>
        <v>Ouverte</v>
      </c>
    </row>
    <row r="52" spans="2:11" ht="45.75" thickBot="1">
      <c r="B52" s="161" t="s">
        <v>113</v>
      </c>
      <c r="C52" s="53" t="s">
        <v>106</v>
      </c>
      <c r="D52" s="53" t="s">
        <v>114</v>
      </c>
      <c r="E52" s="53" t="s">
        <v>115</v>
      </c>
      <c r="F52" s="53" t="s">
        <v>1083</v>
      </c>
      <c r="G52" s="53" t="str">
        <f xml:space="preserve"> IF(F52=$C$13,"Ok","Les risques et opportunités associés aux processus ne sont pas identifiés.")</f>
        <v>Les risques et opportunités associés aux processus ne sont pas identifiés.</v>
      </c>
      <c r="H52" s="158" t="str">
        <f xml:space="preserve"> IF(F52=$C$13,"Ok à maintenir","Mettre en place une analyse systématique des risques et opportunités intégrant les risques opérationnels, technologiques et les opportunités d'innovation afin d'améliorer la résilience et la compétitivité de l'entreprise.")</f>
        <v>Mettre en place une analyse systématique des risques et opportunités intégrant les risques opérationnels, technologiques et les opportunités d'innovation afin d'améliorer la résilience et la compétitivité de l'entreprise.</v>
      </c>
      <c r="I52" s="162" t="s">
        <v>109</v>
      </c>
      <c r="J52" s="158" t="str">
        <f xml:space="preserve"> IF(F52=$C$13,"-","30jours")</f>
        <v>30jours</v>
      </c>
      <c r="K52" s="160" t="str">
        <f xml:space="preserve"> IF(F52=$C$13,"-","Ouverte")</f>
        <v>Ouverte</v>
      </c>
    </row>
    <row r="53" spans="2:11" ht="15.75" thickBot="1">
      <c r="B53" s="21" t="s">
        <v>116</v>
      </c>
      <c r="C53" s="32"/>
      <c r="D53" s="32"/>
      <c r="E53" s="32"/>
      <c r="F53" s="32"/>
      <c r="G53" s="40"/>
      <c r="H53" s="29"/>
      <c r="I53" s="32"/>
      <c r="J53" s="29"/>
      <c r="K53" s="42"/>
    </row>
    <row r="54" spans="2:11" ht="30">
      <c r="B54" s="62" t="s">
        <v>117</v>
      </c>
      <c r="C54" s="30"/>
      <c r="D54" s="30"/>
      <c r="E54" s="30"/>
      <c r="F54" s="30"/>
      <c r="G54" s="155"/>
      <c r="H54" s="156"/>
      <c r="I54" s="30"/>
      <c r="J54" s="156"/>
      <c r="K54" s="157"/>
    </row>
    <row r="55" spans="2:11">
      <c r="B55" s="21"/>
      <c r="C55" s="32"/>
      <c r="D55" s="32"/>
      <c r="E55" s="32"/>
      <c r="F55" s="32"/>
      <c r="G55" s="40"/>
      <c r="H55" s="29"/>
      <c r="I55" s="32"/>
      <c r="J55" s="29"/>
      <c r="K55" s="42"/>
    </row>
    <row r="56" spans="2:11">
      <c r="B56" s="21"/>
      <c r="C56" s="32"/>
      <c r="D56" s="32"/>
      <c r="E56" s="32"/>
      <c r="F56" s="32"/>
      <c r="G56" s="40"/>
      <c r="H56" s="29"/>
      <c r="I56" s="32"/>
      <c r="J56" s="29"/>
      <c r="K56" s="42"/>
    </row>
    <row r="57" spans="2:11" ht="27">
      <c r="B57" s="175" t="s">
        <v>118</v>
      </c>
      <c r="C57" s="165"/>
      <c r="D57" s="165"/>
      <c r="E57" s="165"/>
      <c r="F57" s="165"/>
      <c r="G57" s="169"/>
      <c r="H57" s="170"/>
      <c r="I57" s="165"/>
      <c r="J57" s="170"/>
      <c r="K57" s="176"/>
    </row>
    <row r="58" spans="2:11" ht="22.5">
      <c r="B58" s="45" t="s">
        <v>119</v>
      </c>
      <c r="C58" s="32"/>
      <c r="D58" s="32"/>
      <c r="E58" s="32"/>
      <c r="F58" s="32"/>
      <c r="G58" s="40"/>
      <c r="H58" s="29"/>
      <c r="I58" s="32"/>
      <c r="J58" s="29"/>
      <c r="K58" s="42"/>
    </row>
    <row r="59" spans="2:11">
      <c r="B59" s="21"/>
      <c r="C59" s="32"/>
      <c r="D59" s="32"/>
      <c r="E59" s="32"/>
      <c r="F59" s="32"/>
      <c r="G59" s="40"/>
      <c r="H59" s="29"/>
      <c r="I59" s="32"/>
      <c r="J59" s="29"/>
      <c r="K59" s="42"/>
    </row>
    <row r="60" spans="2:11">
      <c r="B60" s="35" t="s">
        <v>38</v>
      </c>
      <c r="C60" s="36" t="s">
        <v>39</v>
      </c>
      <c r="D60" s="36" t="s">
        <v>13</v>
      </c>
      <c r="E60" s="36" t="s">
        <v>1128</v>
      </c>
      <c r="F60" s="36" t="s">
        <v>842</v>
      </c>
      <c r="G60" s="37" t="s">
        <v>11</v>
      </c>
      <c r="H60" s="37" t="s">
        <v>41</v>
      </c>
      <c r="I60" s="37" t="s">
        <v>42</v>
      </c>
      <c r="J60" s="37" t="s">
        <v>43</v>
      </c>
      <c r="K60" s="38" t="s">
        <v>44</v>
      </c>
    </row>
    <row r="61" spans="2:11" ht="45">
      <c r="B61" s="39" t="s">
        <v>120</v>
      </c>
      <c r="C61" s="40" t="s">
        <v>121</v>
      </c>
      <c r="D61" s="40" t="s">
        <v>122</v>
      </c>
      <c r="E61" s="40" t="s">
        <v>123</v>
      </c>
      <c r="F61" s="40" t="s">
        <v>1083</v>
      </c>
      <c r="G61" s="40" t="str">
        <f xml:space="preserve"> IF(F61=$C$13,"Ok","La direction n'est pas impliquée dans le pilotage du SMQ et ne participe pas activement aux décisions liées à la qualité et à l'amélioration.")</f>
        <v>La direction n'est pas impliquée dans le pilotage du SMQ et ne participe pas activement aux décisions liées à la qualité et à l'amélioration.</v>
      </c>
      <c r="H61" s="29" t="str">
        <f xml:space="preserve"> IF(F61=$C$13,"Ok à maintenir","Mettre en place un Comité Qualité &amp; Innovation présidé par la Direction afin de piloter conjointement la qualité, l'innovation, les risques, les opportunités et les projets stratégiques.")</f>
        <v>Mettre en place un Comité Qualité &amp; Innovation présidé par la Direction afin de piloter conjointement la qualité, l'innovation, les risques, les opportunités et les projets stratégiques.</v>
      </c>
      <c r="I61" s="41" t="s">
        <v>62</v>
      </c>
      <c r="J61" s="29" t="str">
        <f xml:space="preserve"> IF(F61=$C$13,"-","30jours")</f>
        <v>30jours</v>
      </c>
      <c r="K61" s="42" t="str">
        <f xml:space="preserve"> IF(F61=$C$13,"-","Ouverte")</f>
        <v>Ouverte</v>
      </c>
    </row>
    <row r="62" spans="2:11" ht="45">
      <c r="B62" s="39" t="s">
        <v>124</v>
      </c>
      <c r="C62" s="40" t="s">
        <v>46</v>
      </c>
      <c r="D62" s="40" t="s">
        <v>125</v>
      </c>
      <c r="E62" s="40" t="s">
        <v>126</v>
      </c>
      <c r="F62" s="40" t="s">
        <v>1083</v>
      </c>
      <c r="G62" s="40" t="str">
        <f xml:space="preserve"> IF(F62=$C$13,"Ok","Plusieurs projets subissent des retards ou difficultés en raison d'un manque de ressources humaines, techniques ou financières.")</f>
        <v>Plusieurs projets subissent des retards ou difficultés en raison d'un manque de ressources humaines, techniques ou financières.</v>
      </c>
      <c r="H62" s="29" t="str">
        <f xml:space="preserve"> IF(F62=$C$13,"Ok à maintenir","Élaborer un plan pluriannuel d'investissement intégrant les ressources nécessaires à la digitalisation, à l'innovation, à la veille technologique et au développement des compétences.")</f>
        <v>Élaborer un plan pluriannuel d'investissement intégrant les ressources nécessaires à la digitalisation, à l'innovation, à la veille technologique et au développement des compétences.</v>
      </c>
      <c r="I62" s="41" t="s">
        <v>62</v>
      </c>
      <c r="J62" s="29" t="str">
        <f xml:space="preserve"> IF(F62=$C$13,"-","30jours")</f>
        <v>30jours</v>
      </c>
      <c r="K62" s="42" t="str">
        <f xml:space="preserve"> IF(F62=$C$13,"-","Ouverte")</f>
        <v>Ouverte</v>
      </c>
    </row>
    <row r="63" spans="2:11" ht="45">
      <c r="B63" s="39" t="s">
        <v>127</v>
      </c>
      <c r="C63" s="40" t="s">
        <v>46</v>
      </c>
      <c r="D63" s="40" t="s">
        <v>128</v>
      </c>
      <c r="E63" s="40" t="s">
        <v>129</v>
      </c>
      <c r="F63" s="40" t="s">
        <v>1083</v>
      </c>
      <c r="G63" s="40" t="str">
        <f xml:space="preserve"> IF(F63=$C$13,"Ok","Aucun mécanisme structuré ne permet d'identifier, suivre ou valoriser les actions d'amélioration proposées.")</f>
        <v>Aucun mécanisme structuré ne permet d'identifier, suivre ou valoriser les actions d'amélioration proposées.</v>
      </c>
      <c r="H63" s="29" t="str">
        <f xml:space="preserve"> IF(F63=$C$13,"Ok à maintenir","Déployer un système de gestion des idées et d'amélioration continue permettant aux collaborateurs de proposer des innovations et des améliorations des processus.")</f>
        <v>Déployer un système de gestion des idées et d'amélioration continue permettant aux collaborateurs de proposer des innovations et des améliorations des processus.</v>
      </c>
      <c r="I63" s="41" t="s">
        <v>48</v>
      </c>
      <c r="J63" s="29" t="str">
        <f xml:space="preserve"> IF(F63=$C$13,"-","30jours")</f>
        <v>30jours</v>
      </c>
      <c r="K63" s="42" t="str">
        <f xml:space="preserve"> IF(F63=$C$13,"-","Ouverte")</f>
        <v>Ouverte</v>
      </c>
    </row>
    <row r="64" spans="2:11">
      <c r="B64" s="21" t="s">
        <v>130</v>
      </c>
      <c r="C64" s="32"/>
      <c r="D64" s="32"/>
      <c r="E64" s="32"/>
      <c r="F64" s="32"/>
      <c r="G64" s="40"/>
      <c r="H64" s="29"/>
      <c r="I64" s="32"/>
      <c r="J64" s="29"/>
      <c r="K64" s="42"/>
    </row>
    <row r="65" spans="2:11" ht="22.5">
      <c r="B65" s="45" t="s">
        <v>131</v>
      </c>
      <c r="C65" s="32"/>
      <c r="D65" s="32"/>
      <c r="E65" s="32"/>
      <c r="F65" s="32"/>
      <c r="G65" s="40"/>
      <c r="H65" s="29"/>
      <c r="I65" s="32"/>
      <c r="J65" s="29"/>
      <c r="K65" s="42"/>
    </row>
    <row r="66" spans="2:11">
      <c r="B66" s="21"/>
      <c r="C66" s="32"/>
      <c r="D66" s="32"/>
      <c r="E66" s="32"/>
      <c r="F66" s="32"/>
      <c r="G66" s="40"/>
      <c r="H66" s="29"/>
      <c r="I66" s="32"/>
      <c r="J66" s="29"/>
      <c r="K66" s="42"/>
    </row>
    <row r="67" spans="2:11">
      <c r="B67" s="35" t="s">
        <v>38</v>
      </c>
      <c r="C67" s="36" t="s">
        <v>39</v>
      </c>
      <c r="D67" s="36" t="s">
        <v>13</v>
      </c>
      <c r="E67" s="36" t="s">
        <v>1128</v>
      </c>
      <c r="F67" s="36" t="s">
        <v>842</v>
      </c>
      <c r="G67" s="37" t="s">
        <v>11</v>
      </c>
      <c r="H67" s="37" t="s">
        <v>41</v>
      </c>
      <c r="I67" s="37" t="s">
        <v>42</v>
      </c>
      <c r="J67" s="37" t="s">
        <v>43</v>
      </c>
      <c r="K67" s="38" t="s">
        <v>44</v>
      </c>
    </row>
    <row r="68" spans="2:11" ht="45">
      <c r="B68" s="39" t="s">
        <v>132</v>
      </c>
      <c r="C68" s="40" t="s">
        <v>74</v>
      </c>
      <c r="D68" s="40" t="s">
        <v>133</v>
      </c>
      <c r="E68" s="40" t="s">
        <v>134</v>
      </c>
      <c r="F68" s="40" t="s">
        <v>1083</v>
      </c>
      <c r="G68" s="40" t="str">
        <f xml:space="preserve"> IF(F68=$C$13,"Ok","Les besoins et contraintes du client ne sont pas systématiquement validés avant le lancement des études.")</f>
        <v>Les besoins et contraintes du client ne sont pas systématiquement validés avant le lancement des études.</v>
      </c>
      <c r="H68" s="29" t="str">
        <f xml:space="preserve"> IF(F68=$C$13,"Ok à maintenir","Mettre en place un processus de co-construction avec le client intégrant l'analyse des besoins actuels et futurs afin d'identifier des opportunités de création de valeur et d'innovation.")</f>
        <v>Mettre en place un processus de co-construction avec le client intégrant l'analyse des besoins actuels et futurs afin d'identifier des opportunités de création de valeur et d'innovation.</v>
      </c>
      <c r="I68" s="41" t="s">
        <v>77</v>
      </c>
      <c r="J68" s="29" t="str">
        <f xml:space="preserve"> IF(F68=$C$13,"-","30jours")</f>
        <v>30jours</v>
      </c>
      <c r="K68" s="42" t="str">
        <f xml:space="preserve"> IF(F68=$C$13,"-","Ouverte")</f>
        <v>Ouverte</v>
      </c>
    </row>
    <row r="69" spans="2:11" ht="45">
      <c r="B69" s="39" t="s">
        <v>135</v>
      </c>
      <c r="C69" s="40" t="s">
        <v>74</v>
      </c>
      <c r="D69" s="40" t="s">
        <v>136</v>
      </c>
      <c r="E69" s="40" t="s">
        <v>137</v>
      </c>
      <c r="F69" s="40" t="s">
        <v>1083</v>
      </c>
      <c r="G69" s="40" t="str">
        <f xml:space="preserve"> IF(F69=$C$13,"Ok","Les risques susceptibles d'impacter la satisfaction du client ne sont pas identifiés ni suivis.")</f>
        <v>Les risques susceptibles d'impacter la satisfaction du client ne sont pas identifiés ni suivis.</v>
      </c>
      <c r="H69" s="29" t="str">
        <f xml:space="preserve"> IF(F69=$C$13,"Ok à maintenir","Intégrer l'analyse des risques client et des opportunités d'amélioration dans chaque projet afin de proposer des solutions innovantes réduisant les impacts potentiels.")</f>
        <v>Intégrer l'analyse des risques client et des opportunités d'amélioration dans chaque projet afin de proposer des solutions innovantes réduisant les impacts potentiels.</v>
      </c>
      <c r="I69" s="41" t="s">
        <v>77</v>
      </c>
      <c r="J69" s="29" t="str">
        <f xml:space="preserve"> IF(F69=$C$13,"-","30jours")</f>
        <v>30jours</v>
      </c>
      <c r="K69" s="42" t="str">
        <f xml:space="preserve"> IF(F69=$C$13,"-","Ouverte")</f>
        <v>Ouverte</v>
      </c>
    </row>
    <row r="70" spans="2:11" ht="45">
      <c r="B70" s="39" t="s">
        <v>138</v>
      </c>
      <c r="C70" s="40" t="s">
        <v>69</v>
      </c>
      <c r="D70" s="40" t="s">
        <v>139</v>
      </c>
      <c r="E70" s="40" t="s">
        <v>140</v>
      </c>
      <c r="F70" s="40" t="s">
        <v>1083</v>
      </c>
      <c r="G70" s="40" t="str">
        <f xml:space="preserve"> IF(F70=$C$13,"Ok","Aucun indicateur ou mécanisme formel de mesure de la satisfaction client n'est disponible.")</f>
        <v>Aucun indicateur ou mécanisme formel de mesure de la satisfaction client n'est disponible.</v>
      </c>
      <c r="H70" s="29" t="str">
        <f xml:space="preserve"> IF(F70=$C$13,"Ok à maintenir","Mettre en place un système de mesure de l'expérience client et exploiter les résultats pour identifier de nouvelles offres, services et améliorations innovantes.")</f>
        <v>Mettre en place un système de mesure de l'expérience client et exploiter les résultats pour identifier de nouvelles offres, services et améliorations innovantes.</v>
      </c>
      <c r="I70" s="41" t="s">
        <v>53</v>
      </c>
      <c r="J70" s="29" t="str">
        <f xml:space="preserve"> IF(F70=$C$13,"-","30jours")</f>
        <v>30jours</v>
      </c>
      <c r="K70" s="42" t="str">
        <f xml:space="preserve"> IF(F70=$C$13,"-","Ouverte")</f>
        <v>Ouverte</v>
      </c>
    </row>
    <row r="71" spans="2:11">
      <c r="B71" s="177" t="s">
        <v>141</v>
      </c>
      <c r="C71" s="166"/>
      <c r="D71" s="166"/>
      <c r="E71" s="166"/>
      <c r="F71" s="166"/>
      <c r="G71" s="167"/>
      <c r="H71" s="168"/>
      <c r="I71" s="166"/>
      <c r="J71" s="168"/>
      <c r="K71" s="174"/>
    </row>
    <row r="72" spans="2:11" ht="27">
      <c r="B72" s="175" t="s">
        <v>142</v>
      </c>
      <c r="C72" s="165"/>
      <c r="D72" s="165"/>
      <c r="E72" s="165"/>
      <c r="F72" s="165"/>
      <c r="G72" s="169"/>
      <c r="H72" s="170"/>
      <c r="I72" s="165"/>
      <c r="J72" s="170"/>
      <c r="K72" s="176"/>
    </row>
    <row r="73" spans="2:11">
      <c r="B73" s="21"/>
      <c r="C73" s="32"/>
      <c r="D73" s="32"/>
      <c r="E73" s="32"/>
      <c r="F73" s="32"/>
      <c r="G73" s="40"/>
      <c r="H73" s="29"/>
      <c r="I73" s="32"/>
      <c r="J73" s="29"/>
      <c r="K73" s="42"/>
    </row>
    <row r="74" spans="2:11">
      <c r="B74" s="35" t="s">
        <v>38</v>
      </c>
      <c r="C74" s="36" t="s">
        <v>39</v>
      </c>
      <c r="D74" s="36" t="s">
        <v>13</v>
      </c>
      <c r="E74" s="36" t="s">
        <v>1128</v>
      </c>
      <c r="F74" s="36" t="s">
        <v>842</v>
      </c>
      <c r="G74" s="37" t="s">
        <v>11</v>
      </c>
      <c r="H74" s="37" t="s">
        <v>41</v>
      </c>
      <c r="I74" s="37" t="s">
        <v>42</v>
      </c>
      <c r="J74" s="37" t="s">
        <v>43</v>
      </c>
      <c r="K74" s="38" t="s">
        <v>44</v>
      </c>
    </row>
    <row r="75" spans="2:11" ht="45">
      <c r="B75" s="39" t="s">
        <v>143</v>
      </c>
      <c r="C75" s="40" t="s">
        <v>46</v>
      </c>
      <c r="D75" s="40" t="s">
        <v>144</v>
      </c>
      <c r="E75" s="40" t="s">
        <v>145</v>
      </c>
      <c r="F75" s="40" t="s">
        <v>1083</v>
      </c>
      <c r="G75" s="40" t="str">
        <f xml:space="preserve"> IF(F75=$C$13,"Ok","Aucun document officiel ne définit les orientations qualité de l'entreprise.")</f>
        <v>Aucun document officiel ne définit les orientations qualité de l'entreprise.</v>
      </c>
      <c r="H75" s="29" t="str">
        <f xml:space="preserve"> IF(F75=$C$13,"Ok à maintenir","Élaborer une politique Qualité &amp; Innovation intégrant la satisfaction client, l'amélioration continue, la transformation digitale et le développement de nouveaux services.")</f>
        <v>Élaborer une politique Qualité &amp; Innovation intégrant la satisfaction client, l'amélioration continue, la transformation digitale et le développement de nouveaux services.</v>
      </c>
      <c r="I75" s="41" t="s">
        <v>62</v>
      </c>
      <c r="J75" s="29" t="str">
        <f xml:space="preserve"> IF(F75=$C$13,"-","30jours")</f>
        <v>30jours</v>
      </c>
      <c r="K75" s="42" t="str">
        <f xml:space="preserve"> IF(F75=$C$13,"-","Ouverte")</f>
        <v>Ouverte</v>
      </c>
    </row>
    <row r="76" spans="2:11" ht="30">
      <c r="B76" s="39" t="s">
        <v>146</v>
      </c>
      <c r="C76" s="40" t="s">
        <v>46</v>
      </c>
      <c r="D76" s="40" t="s">
        <v>147</v>
      </c>
      <c r="E76" s="40" t="s">
        <v>148</v>
      </c>
      <c r="F76" s="40" t="s">
        <v>1083</v>
      </c>
      <c r="G76" s="40" t="str">
        <f xml:space="preserve"> IF(F76=$C$13,"Ok","La politique ne reflète pas les spécificités des activités du bureau d'études ni ses ambitions stratégiques.")</f>
        <v>La politique ne reflète pas les spécificités des activités du bureau d'études ni ses ambitions stratégiques.</v>
      </c>
      <c r="H76" s="29" t="str">
        <f xml:space="preserve"> IF(F76=$C$13,"Ok à maintenir","Réviser la politique afin d'intégrer les enjeux du secteur, l'innovation technique, la digitalisation et les attentes des parties intéressées.")</f>
        <v>Réviser la politique afin d'intégrer les enjeux du secteur, l'innovation technique, la digitalisation et les attentes des parties intéressées.</v>
      </c>
      <c r="I76" s="41" t="s">
        <v>62</v>
      </c>
      <c r="J76" s="29" t="str">
        <f xml:space="preserve"> IF(F76=$C$13,"-","30jours")</f>
        <v>30jours</v>
      </c>
      <c r="K76" s="42" t="str">
        <f xml:space="preserve"> IF(F76=$C$13,"-","Ouverte")</f>
        <v>Ouverte</v>
      </c>
    </row>
    <row r="77" spans="2:11" ht="30">
      <c r="B77" s="39" t="s">
        <v>149</v>
      </c>
      <c r="C77" s="40" t="s">
        <v>150</v>
      </c>
      <c r="D77" s="154" t="s">
        <v>151</v>
      </c>
      <c r="E77" s="154" t="s">
        <v>152</v>
      </c>
      <c r="F77" s="40" t="s">
        <v>1083</v>
      </c>
      <c r="G77" s="40" t="str">
        <f xml:space="preserve"> IF(F77=$C$13,"Ok","Politique et objectifs associés mal communiqués")</f>
        <v>Politique et objectifs associés mal communiqués</v>
      </c>
      <c r="H77" s="29" t="str">
        <f xml:space="preserve"> IF(F77=$C$13,"Ok à maintenir","Déployer un programme de communication et de sensibilisation favorisant la culture qualité et innovation à tous les niveaux de l'entreprise.")</f>
        <v>Déployer un programme de communication et de sensibilisation favorisant la culture qualité et innovation à tous les niveaux de l'entreprise.</v>
      </c>
      <c r="I77" s="41" t="s">
        <v>153</v>
      </c>
      <c r="J77" s="29" t="str">
        <f xml:space="preserve"> IF(F77=$C$13,"-","30jours")</f>
        <v>30jours</v>
      </c>
      <c r="K77" s="42" t="str">
        <f xml:space="preserve"> IF(F77=$C$13,"-","Ouverte")</f>
        <v>Ouverte</v>
      </c>
    </row>
    <row r="78" spans="2:11" ht="27">
      <c r="B78" s="175" t="s">
        <v>154</v>
      </c>
      <c r="C78" s="165"/>
      <c r="D78" s="165"/>
      <c r="E78" s="165"/>
      <c r="F78" s="165"/>
      <c r="G78" s="169"/>
      <c r="H78" s="170"/>
      <c r="I78" s="165"/>
      <c r="J78" s="170"/>
      <c r="K78" s="176"/>
    </row>
    <row r="79" spans="2:11">
      <c r="B79" s="21"/>
      <c r="C79" s="32"/>
      <c r="D79" s="32"/>
      <c r="E79" s="32"/>
      <c r="F79" s="32"/>
      <c r="G79" s="40"/>
      <c r="H79" s="29"/>
      <c r="I79" s="32"/>
      <c r="J79" s="29"/>
      <c r="K79" s="42"/>
    </row>
    <row r="80" spans="2:11">
      <c r="B80" s="35" t="s">
        <v>38</v>
      </c>
      <c r="C80" s="36" t="s">
        <v>39</v>
      </c>
      <c r="D80" s="36" t="s">
        <v>13</v>
      </c>
      <c r="E80" s="36" t="s">
        <v>1128</v>
      </c>
      <c r="F80" s="36" t="s">
        <v>842</v>
      </c>
      <c r="G80" s="37" t="s">
        <v>11</v>
      </c>
      <c r="H80" s="37" t="s">
        <v>41</v>
      </c>
      <c r="I80" s="37" t="s">
        <v>42</v>
      </c>
      <c r="J80" s="37" t="s">
        <v>43</v>
      </c>
      <c r="K80" s="38" t="s">
        <v>44</v>
      </c>
    </row>
    <row r="81" spans="1:11" ht="30">
      <c r="B81" s="39" t="s">
        <v>155</v>
      </c>
      <c r="C81" s="43" t="s">
        <v>156</v>
      </c>
      <c r="D81" s="40" t="s">
        <v>157</v>
      </c>
      <c r="E81" s="40" t="s">
        <v>158</v>
      </c>
      <c r="F81" s="40" t="s">
        <v>1083</v>
      </c>
      <c r="G81" s="40" t="str">
        <f xml:space="preserve"> IF(F81=$C$13,"Ok","Les rôles et responsabilités ne sont pas clairement définis ni communiqués.")</f>
        <v>Les rôles et responsabilités ne sont pas clairement définis ni communiqués.</v>
      </c>
      <c r="H81" s="29" t="str">
        <f xml:space="preserve"> IF(F81=$C$13,"Ok à maintenir","Mettre à jour l'organigramme et les fiches de fonction en intégrant les responsabilités liées à la qualité, à l'innovation et à l'amélioration continue.")</f>
        <v>Mettre à jour l'organigramme et les fiches de fonction en intégrant les responsabilités liées à la qualité, à l'innovation et à l'amélioration continue.</v>
      </c>
      <c r="I81" s="41" t="s">
        <v>156</v>
      </c>
      <c r="J81" s="29" t="str">
        <f xml:space="preserve"> IF(F81=$C$13,"-","30jours")</f>
        <v>30jours</v>
      </c>
      <c r="K81" s="42" t="str">
        <f xml:space="preserve"> IF(F81=$C$13,"-","Ouverte")</f>
        <v>Ouverte</v>
      </c>
    </row>
    <row r="82" spans="1:11" ht="30">
      <c r="B82" s="39" t="s">
        <v>159</v>
      </c>
      <c r="C82" s="40" t="s">
        <v>46</v>
      </c>
      <c r="D82" s="40" t="s">
        <v>160</v>
      </c>
      <c r="E82" s="40" t="s">
        <v>161</v>
      </c>
      <c r="F82" s="40" t="s">
        <v>1083</v>
      </c>
      <c r="G82" s="40" t="str">
        <f xml:space="preserve"> IF(F82=$C$13,"Ok","Manque des responsables officiellement désignés pour piloter certains processus.")</f>
        <v>Manque des responsables officiellement désignés pour piloter certains processus.</v>
      </c>
      <c r="H82" s="29" t="str">
        <f xml:space="preserve"> IF(F82=$C$13,"Ok à maintenir","Désigner des pilotes de processus chargés du suivi de la performance, des risques, des opportunités et des initiatives d'innovation.")</f>
        <v>Désigner des pilotes de processus chargés du suivi de la performance, des risques, des opportunités et des initiatives d'innovation.</v>
      </c>
      <c r="I82" s="41" t="s">
        <v>62</v>
      </c>
      <c r="J82" s="29" t="str">
        <f xml:space="preserve"> IF(F82=$C$13,"-","30jours")</f>
        <v>30jours</v>
      </c>
      <c r="K82" s="42" t="str">
        <f xml:space="preserve"> IF(F82=$C$13,"-","Ouverte")</f>
        <v>Ouverte</v>
      </c>
    </row>
    <row r="83" spans="1:11" ht="45">
      <c r="B83" s="39" t="s">
        <v>162</v>
      </c>
      <c r="C83" s="40" t="s">
        <v>69</v>
      </c>
      <c r="D83" s="40" t="s">
        <v>163</v>
      </c>
      <c r="E83" s="40" t="s">
        <v>164</v>
      </c>
      <c r="F83" s="40" t="s">
        <v>1083</v>
      </c>
      <c r="G83" s="40" t="str">
        <f xml:space="preserve"> IF(F83=$C$13,"Ok","Certaines informations relatives aux performances, non-conformités et améliorations ne sont pas transmises à la direction.")</f>
        <v>Certaines informations relatives aux performances, non-conformités et améliorations ne sont pas transmises à la direction.</v>
      </c>
      <c r="H83" s="29" t="str">
        <f xml:space="preserve"> IF(F83=$C$13,"Ok à maintenir","Mettre en place un tableau de bord intégré permettant un reporting régulier vers la direction et facilitant la prise de décision stratégique.")</f>
        <v>Mettre en place un tableau de bord intégré permettant un reporting régulier vers la direction et facilitant la prise de décision stratégique.</v>
      </c>
      <c r="I83" s="41" t="s">
        <v>53</v>
      </c>
      <c r="J83" s="29" t="str">
        <f xml:space="preserve"> IF(F83=$C$13,"-","30jours")</f>
        <v>30jours</v>
      </c>
      <c r="K83" s="42" t="str">
        <f xml:space="preserve"> IF(F83=$C$13,"-","Ouverte")</f>
        <v>Ouverte</v>
      </c>
    </row>
    <row r="84" spans="1:11" ht="15.75" thickBot="1">
      <c r="B84" s="23" t="s">
        <v>165</v>
      </c>
      <c r="C84" s="63"/>
      <c r="D84" s="63"/>
      <c r="E84" s="63"/>
      <c r="F84" s="63"/>
      <c r="G84" s="53"/>
      <c r="H84" s="158"/>
      <c r="I84" s="63"/>
      <c r="J84" s="158"/>
      <c r="K84" s="160"/>
    </row>
    <row r="85" spans="1:11" ht="30">
      <c r="B85" s="62" t="s">
        <v>166</v>
      </c>
      <c r="C85" s="30"/>
      <c r="D85" s="30"/>
      <c r="E85" s="30"/>
      <c r="F85" s="30"/>
      <c r="G85" s="155"/>
      <c r="H85" s="156"/>
      <c r="I85" s="30"/>
      <c r="J85" s="156"/>
      <c r="K85" s="157"/>
    </row>
    <row r="86" spans="1:11">
      <c r="B86" s="21"/>
      <c r="C86" s="32"/>
      <c r="D86" s="32"/>
      <c r="E86" s="32"/>
      <c r="F86" s="32"/>
      <c r="G86" s="40"/>
      <c r="H86" s="29"/>
      <c r="I86" s="32"/>
      <c r="J86" s="29"/>
      <c r="K86" s="42"/>
    </row>
    <row r="87" spans="1:11">
      <c r="B87" s="21" t="s">
        <v>167</v>
      </c>
      <c r="C87" s="32"/>
      <c r="D87" s="32"/>
      <c r="E87" s="32"/>
      <c r="F87" s="32"/>
      <c r="G87" s="40"/>
      <c r="H87" s="29"/>
      <c r="I87" s="32"/>
      <c r="J87" s="29"/>
      <c r="K87" s="42"/>
    </row>
    <row r="88" spans="1:11">
      <c r="B88" s="21"/>
      <c r="C88" s="32"/>
      <c r="D88" s="32"/>
      <c r="E88" s="32"/>
      <c r="F88" s="32"/>
      <c r="G88" s="40"/>
      <c r="H88" s="29"/>
      <c r="I88" s="32"/>
      <c r="J88" s="29"/>
      <c r="K88" s="42"/>
    </row>
    <row r="89" spans="1:11" ht="27">
      <c r="B89" s="175" t="s">
        <v>168</v>
      </c>
      <c r="C89" s="165"/>
      <c r="D89" s="165"/>
      <c r="E89" s="165"/>
      <c r="F89" s="165"/>
      <c r="G89" s="169"/>
      <c r="H89" s="170"/>
      <c r="I89" s="165"/>
      <c r="J89" s="170"/>
      <c r="K89" s="176"/>
    </row>
    <row r="90" spans="1:11">
      <c r="B90" s="21"/>
      <c r="C90" s="32"/>
      <c r="D90" s="32"/>
      <c r="E90" s="32"/>
      <c r="F90" s="32"/>
      <c r="G90" s="40"/>
      <c r="H90" s="29"/>
      <c r="I90" s="32"/>
      <c r="J90" s="29"/>
      <c r="K90" s="42"/>
    </row>
    <row r="91" spans="1:11">
      <c r="A91" s="1"/>
      <c r="B91" s="35" t="s">
        <v>38</v>
      </c>
      <c r="C91" s="36" t="s">
        <v>39</v>
      </c>
      <c r="D91" s="36" t="s">
        <v>13</v>
      </c>
      <c r="E91" s="36" t="s">
        <v>1128</v>
      </c>
      <c r="F91" s="36" t="s">
        <v>842</v>
      </c>
      <c r="G91" s="37" t="s">
        <v>11</v>
      </c>
      <c r="H91" s="37" t="s">
        <v>41</v>
      </c>
      <c r="I91" s="37" t="s">
        <v>42</v>
      </c>
      <c r="J91" s="37" t="s">
        <v>43</v>
      </c>
      <c r="K91" s="38" t="s">
        <v>44</v>
      </c>
    </row>
    <row r="92" spans="1:11" ht="45">
      <c r="A92" s="4"/>
      <c r="B92" s="39" t="s">
        <v>169</v>
      </c>
      <c r="C92" s="40" t="s">
        <v>50</v>
      </c>
      <c r="D92" s="40" t="s">
        <v>170</v>
      </c>
      <c r="E92" s="40" t="s">
        <v>171</v>
      </c>
      <c r="F92" s="40" t="s">
        <v>1083</v>
      </c>
      <c r="G92" s="40" t="str">
        <f xml:space="preserve"> IF(F92=$C$13,"Ok","Risques non identifiés")</f>
        <v>Risques non identifiés</v>
      </c>
      <c r="H92" s="29" t="str">
        <f xml:space="preserve"> IF(F92=$C$13,"Ok à maintenir","Mettre en place une cartographie des risques et opportunités intégrant les dimensions techniques, organisationnelles, numériques et d'innovation.")</f>
        <v>Mettre en place une cartographie des risques et opportunités intégrant les dimensions techniques, organisationnelles, numériques et d'innovation.</v>
      </c>
      <c r="I92" s="41" t="s">
        <v>53</v>
      </c>
      <c r="J92" s="29" t="str">
        <f t="shared" ref="J92:J99" si="0" xml:space="preserve"> IF(F92=$C$13,"-","30jours")</f>
        <v>30jours</v>
      </c>
      <c r="K92" s="42" t="str">
        <f t="shared" ref="K92:K99" si="1" xml:space="preserve"> IF(F92=$C$13,"-","Ouverte")</f>
        <v>Ouverte</v>
      </c>
    </row>
    <row r="93" spans="1:11" ht="30">
      <c r="A93" s="4"/>
      <c r="B93" s="39" t="s">
        <v>172</v>
      </c>
      <c r="C93" s="40" t="s">
        <v>173</v>
      </c>
      <c r="D93" s="40" t="s">
        <v>174</v>
      </c>
      <c r="E93" s="40" t="s">
        <v>175</v>
      </c>
      <c r="F93" s="40" t="s">
        <v>1083</v>
      </c>
      <c r="G93" s="40" t="str">
        <f xml:space="preserve"> IF(F93=$C$13,"Ok","Les risques recensés ne sont ni hiérarchisés ni évalués.")</f>
        <v>Les risques recensés ne sont ni hiérarchisés ni évalués.</v>
      </c>
      <c r="H93" s="29" t="str">
        <f xml:space="preserve"> IF(F93=$C$13,"Ok à maintenir","Déployer une méthode d'évaluation des risques et opportunités basée sur la criticité et le potentiel d'innovation associé ( matrice PI)")</f>
        <v>Déployer une méthode d'évaluation des risques et opportunités basée sur la criticité et le potentiel d'innovation associé ( matrice PI)</v>
      </c>
      <c r="I93" s="41" t="s">
        <v>176</v>
      </c>
      <c r="J93" s="29" t="str">
        <f t="shared" si="0"/>
        <v>30jours</v>
      </c>
      <c r="K93" s="42" t="str">
        <f t="shared" si="1"/>
        <v>Ouverte</v>
      </c>
    </row>
    <row r="94" spans="1:11" ht="30">
      <c r="A94" s="4"/>
      <c r="B94" s="39" t="s">
        <v>177</v>
      </c>
      <c r="C94" s="40" t="s">
        <v>74</v>
      </c>
      <c r="D94" s="40" t="s">
        <v>178</v>
      </c>
      <c r="E94" s="40" t="s">
        <v>179</v>
      </c>
      <c r="F94" s="40" t="s">
        <v>1083</v>
      </c>
      <c r="G94" s="40" t="str">
        <f xml:space="preserve"> IF(F94=$C$13,"Ok","Les contraintes sont identifiées tardivement.")</f>
        <v>Les contraintes sont identifiées tardivement.</v>
      </c>
      <c r="H94" s="29" t="str">
        <f xml:space="preserve"> IF(F94=$C$13,"Ok à maintenir","Mettre en place une analyse préventive des exigences et des risques clients afin d'anticiper les besoins émergents et les opportunités de différenciation.")</f>
        <v>Mettre en place une analyse préventive des exigences et des risques clients afin d'anticiper les besoins émergents et les opportunités de différenciation.</v>
      </c>
      <c r="I94" s="41" t="s">
        <v>77</v>
      </c>
      <c r="J94" s="29" t="str">
        <f t="shared" si="0"/>
        <v>30jours</v>
      </c>
      <c r="K94" s="42" t="str">
        <f t="shared" si="1"/>
        <v>Ouverte</v>
      </c>
    </row>
    <row r="95" spans="1:11" ht="30">
      <c r="A95" s="4"/>
      <c r="B95" s="39" t="s">
        <v>180</v>
      </c>
      <c r="C95" s="40" t="s">
        <v>79</v>
      </c>
      <c r="D95" s="40" t="s">
        <v>181</v>
      </c>
      <c r="E95" s="40" t="s">
        <v>182</v>
      </c>
      <c r="F95" s="40" t="s">
        <v>1083</v>
      </c>
      <c r="G95" s="40" t="str">
        <f xml:space="preserve"> IF(F95=$C$13,"Ok","Les risques liés aux calculs, logiciels ou normes ne sont pas évalués.")</f>
        <v>Les risques liés aux calculs, logiciels ou normes ne sont pas évalués.</v>
      </c>
      <c r="H95" s="29" t="str">
        <f xml:space="preserve"> IF(F95=$C$13,"Ok à maintenir","Développer un processus de veille technologique et d'évaluation des innovations permettant d'anticiper les risques techniques futurs.")</f>
        <v>Développer un processus de veille technologique et d'évaluation des innovations permettant d'anticiper les risques techniques futurs.</v>
      </c>
      <c r="I95" s="41" t="s">
        <v>82</v>
      </c>
      <c r="J95" s="29" t="str">
        <f t="shared" si="0"/>
        <v>30jours</v>
      </c>
      <c r="K95" s="42" t="str">
        <f t="shared" si="1"/>
        <v>Ouverte</v>
      </c>
    </row>
    <row r="96" spans="1:11" ht="30">
      <c r="A96" s="4"/>
      <c r="B96" s="39" t="s">
        <v>183</v>
      </c>
      <c r="C96" s="40" t="s">
        <v>184</v>
      </c>
      <c r="D96" s="40" t="s">
        <v>185</v>
      </c>
      <c r="E96" s="40" t="s">
        <v>186</v>
      </c>
      <c r="F96" s="40" t="s">
        <v>1083</v>
      </c>
      <c r="G96" s="40" t="str">
        <f xml:space="preserve"> IF(F96=$C$13,"Ok","Les compétences requises ne sont pas systématiquement évaluées avant affectation.")</f>
        <v>Les compétences requises ne sont pas systématiquement évaluées avant affectation.</v>
      </c>
      <c r="H96" s="29" t="str">
        <f xml:space="preserve"> IF(F96=$C$13,"Ok à maintenir","Réaliser une cartographie dynamique des compétences et identifier les besoins futurs liés aux nouvelles technologies et aux innovations.")</f>
        <v>Réaliser une cartographie dynamique des compétences et identifier les besoins futurs liés aux nouvelles technologies et aux innovations.</v>
      </c>
      <c r="I96" s="41" t="s">
        <v>187</v>
      </c>
      <c r="J96" s="29" t="str">
        <f t="shared" si="0"/>
        <v>30jours</v>
      </c>
      <c r="K96" s="42" t="str">
        <f t="shared" si="1"/>
        <v>Ouverte</v>
      </c>
    </row>
    <row r="97" spans="1:11" ht="30">
      <c r="A97" s="4"/>
      <c r="B97" s="39" t="s">
        <v>188</v>
      </c>
      <c r="C97" s="40" t="s">
        <v>46</v>
      </c>
      <c r="D97" s="40" t="s">
        <v>189</v>
      </c>
      <c r="E97" s="40" t="s">
        <v>190</v>
      </c>
      <c r="F97" s="40" t="s">
        <v>1083</v>
      </c>
      <c r="G97" s="40" t="str">
        <f xml:space="preserve"> IF(F97=$C$13,"Ok","Les opportunités ne sont pas recherchées ni analysées.")</f>
        <v>Les opportunités ne sont pas recherchées ni analysées.</v>
      </c>
      <c r="H97" s="29" t="str">
        <f xml:space="preserve"> IF(F97=$C$13,"Ok à maintenir","Mettre en place un processus de gestion des opportunités d'innovation visant à développer de nouveaux services, marchés et méthodes de travail.")</f>
        <v>Mettre en place un processus de gestion des opportunités d'innovation visant à développer de nouveaux services, marchés et méthodes de travail.</v>
      </c>
      <c r="I97" s="41" t="s">
        <v>62</v>
      </c>
      <c r="J97" s="29" t="str">
        <f t="shared" si="0"/>
        <v>30jours</v>
      </c>
      <c r="K97" s="42" t="str">
        <f t="shared" si="1"/>
        <v>Ouverte</v>
      </c>
    </row>
    <row r="98" spans="1:11" ht="30">
      <c r="A98" s="4"/>
      <c r="B98" s="39" t="s">
        <v>191</v>
      </c>
      <c r="C98" s="40" t="s">
        <v>106</v>
      </c>
      <c r="D98" s="40" t="s">
        <v>192</v>
      </c>
      <c r="E98" s="40" t="s">
        <v>193</v>
      </c>
      <c r="F98" s="40" t="s">
        <v>1083</v>
      </c>
      <c r="G98" s="40" t="str">
        <f xml:space="preserve"> IF(F98=$C$13,"Ok","Les risques identifiés ne donnent lieu à aucun plan d'action.")</f>
        <v>Les risques identifiés ne donnent lieu à aucun plan d'action.</v>
      </c>
      <c r="H98" s="29" t="str">
        <f xml:space="preserve"> IF(F98=$C$13,"Ok à maintenir","Élaborer des plans d'actions intégrant à la fois les mesures de maîtrise et les opportunités d'innovation associées.")</f>
        <v>Élaborer des plans d'actions intégrant à la fois les mesures de maîtrise et les opportunités d'innovation associées.</v>
      </c>
      <c r="I98" s="41" t="s">
        <v>109</v>
      </c>
      <c r="J98" s="29" t="str">
        <f t="shared" si="0"/>
        <v>30jours</v>
      </c>
      <c r="K98" s="42" t="str">
        <f t="shared" si="1"/>
        <v>Ouverte</v>
      </c>
    </row>
    <row r="99" spans="1:11" ht="30">
      <c r="A99" s="4"/>
      <c r="B99" s="39" t="s">
        <v>194</v>
      </c>
      <c r="C99" s="40" t="s">
        <v>69</v>
      </c>
      <c r="D99" s="40" t="s">
        <v>195</v>
      </c>
      <c r="E99" s="40" t="s">
        <v>196</v>
      </c>
      <c r="F99" s="40" t="s">
        <v>1083</v>
      </c>
      <c r="G99" s="40" t="str">
        <f xml:space="preserve"> IF(F99=$C$13,"Ok","Manque de suivi de l'efficacité des actions engagées.")</f>
        <v>Manque de suivi de l'efficacité des actions engagées.</v>
      </c>
      <c r="H99" s="29" t="str">
        <f xml:space="preserve"> IF(F99=$C$13,"Ok à maintenir","Définir des indicateurs permettant de mesurer l'efficacité des actions de réduction des risques et des initiatives d'innovation.")</f>
        <v>Définir des indicateurs permettant de mesurer l'efficacité des actions de réduction des risques et des initiatives d'innovation.</v>
      </c>
      <c r="I99" s="41" t="s">
        <v>53</v>
      </c>
      <c r="J99" s="29" t="str">
        <f t="shared" si="0"/>
        <v>30jours</v>
      </c>
      <c r="K99" s="42" t="str">
        <f t="shared" si="1"/>
        <v>Ouverte</v>
      </c>
    </row>
    <row r="100" spans="1:11">
      <c r="B100" s="21"/>
      <c r="C100" s="32"/>
      <c r="D100" s="32"/>
      <c r="E100" s="32"/>
      <c r="F100" s="32"/>
      <c r="G100" s="40"/>
      <c r="H100" s="29"/>
      <c r="I100" s="32"/>
      <c r="J100" s="29"/>
      <c r="K100" s="42"/>
    </row>
    <row r="101" spans="1:11">
      <c r="B101" s="21" t="s">
        <v>197</v>
      </c>
      <c r="C101" s="32"/>
      <c r="D101" s="32"/>
      <c r="E101" s="32"/>
      <c r="F101" s="32"/>
      <c r="G101" s="40"/>
      <c r="H101" s="29"/>
      <c r="I101" s="32"/>
      <c r="J101" s="29"/>
      <c r="K101" s="42"/>
    </row>
    <row r="102" spans="1:11">
      <c r="B102" s="21"/>
      <c r="C102" s="32"/>
      <c r="D102" s="32"/>
      <c r="E102" s="32"/>
      <c r="F102" s="32"/>
      <c r="G102" s="40"/>
      <c r="H102" s="29"/>
      <c r="I102" s="32"/>
      <c r="J102" s="29"/>
      <c r="K102" s="42"/>
    </row>
    <row r="103" spans="1:11">
      <c r="B103" s="44" t="s">
        <v>198</v>
      </c>
      <c r="C103" s="32"/>
      <c r="D103" s="32"/>
      <c r="E103" s="32"/>
      <c r="F103" s="32"/>
      <c r="G103" s="40"/>
      <c r="H103" s="29"/>
      <c r="I103" s="32"/>
      <c r="J103" s="29"/>
      <c r="K103" s="42"/>
    </row>
    <row r="104" spans="1:11">
      <c r="B104" s="46" t="s">
        <v>199</v>
      </c>
      <c r="C104" s="32"/>
      <c r="D104" s="32"/>
      <c r="E104" s="32"/>
      <c r="F104" s="32"/>
      <c r="G104" s="40"/>
      <c r="H104" s="29"/>
      <c r="I104" s="32"/>
      <c r="J104" s="29"/>
      <c r="K104" s="42"/>
    </row>
    <row r="105" spans="1:11">
      <c r="B105" s="46" t="s">
        <v>200</v>
      </c>
      <c r="C105" s="32"/>
      <c r="D105" s="32"/>
      <c r="E105" s="32"/>
      <c r="F105" s="32"/>
      <c r="G105" s="40"/>
      <c r="H105" s="29"/>
      <c r="I105" s="32"/>
      <c r="J105" s="29"/>
      <c r="K105" s="42"/>
    </row>
    <row r="106" spans="1:11">
      <c r="B106" s="179" t="s">
        <v>201</v>
      </c>
      <c r="C106" s="166"/>
      <c r="D106" s="166"/>
      <c r="E106" s="166"/>
      <c r="F106" s="166"/>
      <c r="G106" s="167"/>
      <c r="H106" s="168"/>
      <c r="I106" s="166"/>
      <c r="J106" s="168"/>
      <c r="K106" s="174"/>
    </row>
    <row r="107" spans="1:11" ht="27">
      <c r="B107" s="175" t="s">
        <v>202</v>
      </c>
      <c r="C107" s="165"/>
      <c r="D107" s="165"/>
      <c r="E107" s="165"/>
      <c r="F107" s="165"/>
      <c r="G107" s="169"/>
      <c r="H107" s="170"/>
      <c r="I107" s="165"/>
      <c r="J107" s="170"/>
      <c r="K107" s="176"/>
    </row>
    <row r="108" spans="1:11">
      <c r="B108" s="21"/>
      <c r="C108" s="32"/>
      <c r="D108" s="32"/>
      <c r="E108" s="32"/>
      <c r="F108" s="32"/>
      <c r="G108" s="40"/>
      <c r="H108" s="29"/>
      <c r="I108" s="32"/>
      <c r="J108" s="29"/>
      <c r="K108" s="42"/>
    </row>
    <row r="109" spans="1:11">
      <c r="B109" s="35" t="s">
        <v>38</v>
      </c>
      <c r="C109" s="36" t="s">
        <v>39</v>
      </c>
      <c r="D109" s="36" t="s">
        <v>13</v>
      </c>
      <c r="E109" s="36" t="s">
        <v>1128</v>
      </c>
      <c r="F109" s="36" t="s">
        <v>842</v>
      </c>
      <c r="G109" s="37" t="s">
        <v>11</v>
      </c>
      <c r="H109" s="37" t="s">
        <v>41</v>
      </c>
      <c r="I109" s="37" t="s">
        <v>42</v>
      </c>
      <c r="J109" s="37" t="s">
        <v>43</v>
      </c>
      <c r="K109" s="38" t="s">
        <v>44</v>
      </c>
    </row>
    <row r="110" spans="1:11" ht="30">
      <c r="B110" s="39" t="s">
        <v>203</v>
      </c>
      <c r="C110" s="40" t="s">
        <v>46</v>
      </c>
      <c r="D110" s="40" t="s">
        <v>204</v>
      </c>
      <c r="E110" s="40" t="s">
        <v>205</v>
      </c>
      <c r="F110" s="40" t="s">
        <v>1108</v>
      </c>
      <c r="G110" s="40" t="str">
        <f xml:space="preserve"> IF(F110=$C$13,"Ok","Aucun objectif formalisé.")</f>
        <v>Aucun objectif formalisé.</v>
      </c>
      <c r="H110" s="29" t="str">
        <f xml:space="preserve"> IF(F110=$C$13,"Ok à maintenir","Définir des objectifs qualité alignés avec la stratégie de développement de l'entreprise.")</f>
        <v>Définir des objectifs qualité alignés avec la stratégie de développement de l'entreprise.</v>
      </c>
      <c r="I110" s="41" t="s">
        <v>62</v>
      </c>
      <c r="J110" s="29" t="str">
        <f t="shared" ref="J110:J115" si="2" xml:space="preserve"> IF(F110=$C$13,"-","30jours")</f>
        <v>30jours</v>
      </c>
      <c r="K110" s="42" t="str">
        <f t="shared" ref="K110:K115" si="3" xml:space="preserve"> IF(F110=$C$13,"-","Ouverte")</f>
        <v>Ouverte</v>
      </c>
    </row>
    <row r="111" spans="1:11" ht="30">
      <c r="B111" s="39" t="s">
        <v>206</v>
      </c>
      <c r="C111" s="40" t="s">
        <v>69</v>
      </c>
      <c r="D111" s="40" t="s">
        <v>207</v>
      </c>
      <c r="E111" s="40" t="s">
        <v>208</v>
      </c>
      <c r="F111" s="40" t="s">
        <v>1108</v>
      </c>
      <c r="G111" s="40" t="str">
        <f xml:space="preserve"> IF(F111=$C$13,"Ok","Les objectifs ne sont pas quantifiables.")</f>
        <v>Les objectifs ne sont pas quantifiables.</v>
      </c>
      <c r="H111" s="29" t="str">
        <f xml:space="preserve"> IF(F111=$C$13,"Ok à maintenir","Définir des indicateurs mesurables intégrant la qualité, la satisfaction client, l'innovation et la performance des processus.")</f>
        <v>Définir des indicateurs mesurables intégrant la qualité, la satisfaction client, l'innovation et la performance des processus.</v>
      </c>
      <c r="I111" s="41" t="s">
        <v>53</v>
      </c>
      <c r="J111" s="29" t="str">
        <f t="shared" si="2"/>
        <v>30jours</v>
      </c>
      <c r="K111" s="42" t="str">
        <f t="shared" si="3"/>
        <v>Ouverte</v>
      </c>
    </row>
    <row r="112" spans="1:11" ht="30">
      <c r="B112" s="39" t="s">
        <v>209</v>
      </c>
      <c r="C112" s="40" t="s">
        <v>46</v>
      </c>
      <c r="D112" s="40" t="s">
        <v>210</v>
      </c>
      <c r="E112" s="40" t="s">
        <v>211</v>
      </c>
      <c r="F112" s="40" t="s">
        <v>1108</v>
      </c>
      <c r="G112" s="40" t="str">
        <f xml:space="preserve"> IF(F112=$C$13,"Ok","Absence de cohérence avec les orientations de l'entreprise.")</f>
        <v>Absence de cohérence avec les orientations de l'entreprise.</v>
      </c>
      <c r="H112" s="29" t="str">
        <f xml:space="preserve"> IF(F112=$C$13,"Ok à maintenir","Aligner les objectifs sur la politique qualité et sur la feuille de route stratégique.")</f>
        <v>Aligner les objectifs sur la politique qualité et sur la feuille de route stratégique.</v>
      </c>
      <c r="I112" s="41" t="s">
        <v>62</v>
      </c>
      <c r="J112" s="29" t="str">
        <f t="shared" si="2"/>
        <v>30jours</v>
      </c>
      <c r="K112" s="42" t="str">
        <f t="shared" si="3"/>
        <v>Ouverte</v>
      </c>
    </row>
    <row r="113" spans="2:11" ht="30">
      <c r="B113" s="39" t="s">
        <v>212</v>
      </c>
      <c r="C113" s="40" t="s">
        <v>106</v>
      </c>
      <c r="D113" s="40" t="s">
        <v>213</v>
      </c>
      <c r="E113" s="40" t="s">
        <v>214</v>
      </c>
      <c r="F113" s="40" t="s">
        <v>1108</v>
      </c>
      <c r="G113" s="40" t="str">
        <f xml:space="preserve"> IF(F113=$C$13,"Ok","Les processus ne disposent pas d'objectifs propres.")</f>
        <v>Les processus ne disposent pas d'objectifs propres.</v>
      </c>
      <c r="H113" s="29" t="str">
        <f xml:space="preserve"> IF(F113=$C$13,"Ok à maintenir","Déployer des objectifs et KPI par processus intégrant l'amélioration continue et l'innovation.")</f>
        <v>Déployer des objectifs et KPI par processus intégrant l'amélioration continue et l'innovation.</v>
      </c>
      <c r="I113" s="41" t="s">
        <v>109</v>
      </c>
      <c r="J113" s="29" t="str">
        <f t="shared" si="2"/>
        <v>30jours</v>
      </c>
      <c r="K113" s="42" t="str">
        <f t="shared" si="3"/>
        <v>Ouverte</v>
      </c>
    </row>
    <row r="114" spans="2:11" ht="30">
      <c r="B114" s="39" t="s">
        <v>215</v>
      </c>
      <c r="C114" s="40" t="s">
        <v>106</v>
      </c>
      <c r="D114" s="40" t="s">
        <v>216</v>
      </c>
      <c r="E114" s="40" t="s">
        <v>217</v>
      </c>
      <c r="F114" s="40" t="s">
        <v>1108</v>
      </c>
      <c r="G114" s="40" t="str">
        <f xml:space="preserve"> IF(F114=$C$13,"Ok","Les moyens pour atteindre les objectifs ne sont pas définis.")</f>
        <v>Les moyens pour atteindre les objectifs ne sont pas définis.</v>
      </c>
      <c r="H114" s="29" t="str">
        <f xml:space="preserve"> IF(F114=$C$13,"Ok à maintenir","Élaborer des plans d'actions détaillés intégrant ressources, budget, technologies et compétences nécessaires.")</f>
        <v>Élaborer des plans d'actions détaillés intégrant ressources, budget, technologies et compétences nécessaires.</v>
      </c>
      <c r="I114" s="41" t="s">
        <v>109</v>
      </c>
      <c r="J114" s="29" t="str">
        <f t="shared" si="2"/>
        <v>30jours</v>
      </c>
      <c r="K114" s="42" t="str">
        <f t="shared" si="3"/>
        <v>Ouverte</v>
      </c>
    </row>
    <row r="115" spans="2:11" ht="30">
      <c r="B115" s="39" t="s">
        <v>218</v>
      </c>
      <c r="C115" s="40" t="s">
        <v>69</v>
      </c>
      <c r="D115" s="40" t="s">
        <v>219</v>
      </c>
      <c r="E115" s="40" t="s">
        <v>220</v>
      </c>
      <c r="F115" s="40" t="s">
        <v>1108</v>
      </c>
      <c r="G115" s="40" t="str">
        <f xml:space="preserve"> IF(F115=$C$13,"Ok","Aucun tableau de bord disponible.")</f>
        <v>Aucun tableau de bord disponible.</v>
      </c>
      <c r="H115" s="29" t="str">
        <f xml:space="preserve"> IF(F115=$C$13,"Ok à maintenir","Déployer un tableau de bord assurant le suivi régulier des objectifs et des performances.")</f>
        <v>Déployer un tableau de bord assurant le suivi régulier des objectifs et des performances.</v>
      </c>
      <c r="I115" s="41" t="s">
        <v>53</v>
      </c>
      <c r="J115" s="29" t="str">
        <f t="shared" si="2"/>
        <v>30jours</v>
      </c>
      <c r="K115" s="42" t="str">
        <f t="shared" si="3"/>
        <v>Ouverte</v>
      </c>
    </row>
    <row r="116" spans="2:11">
      <c r="B116" s="21"/>
      <c r="C116" s="32"/>
      <c r="D116" s="32"/>
      <c r="E116" s="32"/>
      <c r="F116" s="32"/>
      <c r="G116" s="40"/>
      <c r="H116" s="29"/>
      <c r="I116" s="32"/>
      <c r="J116" s="29"/>
      <c r="K116" s="42"/>
    </row>
    <row r="117" spans="2:11">
      <c r="B117" s="177" t="s">
        <v>221</v>
      </c>
      <c r="C117" s="166"/>
      <c r="D117" s="166"/>
      <c r="E117" s="166"/>
      <c r="F117" s="166"/>
      <c r="G117" s="167"/>
      <c r="H117" s="168"/>
      <c r="I117" s="166"/>
      <c r="J117" s="168"/>
      <c r="K117" s="174"/>
    </row>
    <row r="118" spans="2:11" ht="27">
      <c r="B118" s="34" t="s">
        <v>222</v>
      </c>
      <c r="C118" s="32"/>
      <c r="D118" s="32"/>
      <c r="E118" s="32"/>
      <c r="F118" s="32"/>
      <c r="G118" s="40"/>
      <c r="H118" s="29"/>
      <c r="I118" s="32"/>
      <c r="J118" s="29"/>
      <c r="K118" s="42"/>
    </row>
    <row r="119" spans="2:11">
      <c r="B119" s="21"/>
      <c r="C119" s="32"/>
      <c r="D119" s="32"/>
      <c r="E119" s="32"/>
      <c r="F119" s="32"/>
      <c r="G119" s="40"/>
      <c r="H119" s="29"/>
      <c r="I119" s="32"/>
      <c r="J119" s="29"/>
      <c r="K119" s="42"/>
    </row>
    <row r="120" spans="2:11">
      <c r="B120" s="35" t="s">
        <v>38</v>
      </c>
      <c r="C120" s="36" t="s">
        <v>39</v>
      </c>
      <c r="D120" s="36" t="s">
        <v>13</v>
      </c>
      <c r="E120" s="36" t="s">
        <v>1128</v>
      </c>
      <c r="F120" s="36" t="s">
        <v>842</v>
      </c>
      <c r="G120" s="37" t="s">
        <v>11</v>
      </c>
      <c r="H120" s="37" t="s">
        <v>41</v>
      </c>
      <c r="I120" s="37" t="s">
        <v>42</v>
      </c>
      <c r="J120" s="37" t="s">
        <v>43</v>
      </c>
      <c r="K120" s="38" t="s">
        <v>44</v>
      </c>
    </row>
    <row r="121" spans="2:11" ht="30">
      <c r="B121" s="39" t="s">
        <v>223</v>
      </c>
      <c r="C121" s="40" t="s">
        <v>97</v>
      </c>
      <c r="D121" s="40" t="s">
        <v>224</v>
      </c>
      <c r="E121" s="40" t="s">
        <v>225</v>
      </c>
      <c r="F121" s="40" t="s">
        <v>1083</v>
      </c>
      <c r="G121" s="40" t="str">
        <f xml:space="preserve"> IF(F121=$C$13,"Ok","Les changements sont réalisés de manière réactive.")</f>
        <v>Les changements sont réalisés de manière réactive.</v>
      </c>
      <c r="H121" s="29" t="str">
        <f xml:space="preserve"> IF(F121=$C$13,"Ok à maintenir","Mettre en place un processus de gestion du changement intégrant l'évaluation des impacts, risques, opportunités et innovations associées.")</f>
        <v>Mettre en place un processus de gestion du changement intégrant l'évaluation des impacts, risques, opportunités et innovations associées.</v>
      </c>
      <c r="I121" s="41" t="s">
        <v>100</v>
      </c>
      <c r="J121" s="29" t="str">
        <f xml:space="preserve"> IF(F121=$C$13,"-","30jours")</f>
        <v>30jours</v>
      </c>
      <c r="K121" s="42" t="str">
        <f xml:space="preserve"> IF(F121=$C$13,"-","Ouverte")</f>
        <v>Ouverte</v>
      </c>
    </row>
    <row r="122" spans="2:11" ht="30">
      <c r="B122" s="39" t="s">
        <v>226</v>
      </c>
      <c r="C122" s="40" t="s">
        <v>46</v>
      </c>
      <c r="D122" s="40" t="s">
        <v>227</v>
      </c>
      <c r="E122" s="40" t="s">
        <v>228</v>
      </c>
      <c r="F122" s="40" t="s">
        <v>1083</v>
      </c>
      <c r="G122" s="40" t="str">
        <f xml:space="preserve"> IF(F122=$C$13,"Ok","Les impacts ne sont pas évalués avant mise en œuvre.")</f>
        <v>Les impacts ne sont pas évalués avant mise en œuvre.</v>
      </c>
      <c r="H122" s="29" t="str">
        <f xml:space="preserve"> IF(F122=$C$13,"Ok à maintenir","Réaliser systématiquement une analyse d'impact avant tout changement majeur et identifier les opportunités d'amélioration associées.")</f>
        <v>Réaliser systématiquement une analyse d'impact avant tout changement majeur et identifier les opportunités d'amélioration associées.</v>
      </c>
      <c r="I122" s="41" t="s">
        <v>62</v>
      </c>
      <c r="J122" s="29" t="str">
        <f xml:space="preserve"> IF(F122=$C$13,"-","30jours")</f>
        <v>30jours</v>
      </c>
      <c r="K122" s="42" t="str">
        <f xml:space="preserve"> IF(F122=$C$13,"-","Ouverte")</f>
        <v>Ouverte</v>
      </c>
    </row>
    <row r="123" spans="2:11" ht="30">
      <c r="B123" s="39" t="s">
        <v>155</v>
      </c>
      <c r="C123" s="40" t="s">
        <v>156</v>
      </c>
      <c r="D123" s="40" t="s">
        <v>229</v>
      </c>
      <c r="E123" s="40" t="s">
        <v>230</v>
      </c>
      <c r="F123" s="40" t="s">
        <v>1083</v>
      </c>
      <c r="G123" s="40" t="str">
        <f xml:space="preserve"> IF(F123=$C$13,"Ok","Aucun responsable n'est désigné pour piloter les changements.")</f>
        <v>Aucun responsable n'est désigné pour piloter les changements.</v>
      </c>
      <c r="H123" s="29" t="str">
        <f xml:space="preserve"> IF(F123=$C$13,"Ok à maintenir","Désigner un responsable du changement.")</f>
        <v>Désigner un responsable du changement.</v>
      </c>
      <c r="I123" s="41" t="s">
        <v>156</v>
      </c>
      <c r="J123" s="29" t="str">
        <f xml:space="preserve"> IF(F123=$C$13,"-","30jours")</f>
        <v>30jours</v>
      </c>
      <c r="K123" s="42" t="str">
        <f xml:space="preserve"> IF(F123=$C$13,"-","Ouverte")</f>
        <v>Ouverte</v>
      </c>
    </row>
    <row r="124" spans="2:11" ht="30.75" thickBot="1">
      <c r="B124" s="161" t="s">
        <v>231</v>
      </c>
      <c r="C124" s="53" t="s">
        <v>46</v>
      </c>
      <c r="D124" s="53" t="s">
        <v>232</v>
      </c>
      <c r="E124" s="53" t="s">
        <v>233</v>
      </c>
      <c r="F124" s="53" t="s">
        <v>1083</v>
      </c>
      <c r="G124" s="53" t="str">
        <f xml:space="preserve"> IF(F124=$C$13,"Ok","Les changements sont engagés sans budget / ni ressources adaptés.")</f>
        <v>Les changements sont engagés sans budget / ni ressources adaptés.</v>
      </c>
      <c r="H124" s="158" t="str">
        <f xml:space="preserve"> IF(F124=$C$13,"Ok à maintenir","Intégrer les ressources humaines, financières et technologiques nécessaires dans les plans de changement.")</f>
        <v>Intégrer les ressources humaines, financières et technologiques nécessaires dans les plans de changement.</v>
      </c>
      <c r="I124" s="162" t="s">
        <v>62</v>
      </c>
      <c r="J124" s="158" t="str">
        <f xml:space="preserve"> IF(F124=$C$13,"-","30jours")</f>
        <v>30jours</v>
      </c>
      <c r="K124" s="160" t="str">
        <f xml:space="preserve"> IF(F124=$C$13,"-","Ouverte")</f>
        <v>Ouverte</v>
      </c>
    </row>
    <row r="125" spans="2:11" ht="30">
      <c r="B125" s="62" t="s">
        <v>234</v>
      </c>
      <c r="C125" s="30"/>
      <c r="D125" s="30"/>
      <c r="E125" s="30"/>
      <c r="F125" s="30"/>
      <c r="G125" s="155"/>
      <c r="H125" s="156"/>
      <c r="I125" s="30"/>
      <c r="J125" s="156"/>
      <c r="K125" s="157"/>
    </row>
    <row r="126" spans="2:11">
      <c r="B126" s="21"/>
      <c r="C126" s="32"/>
      <c r="D126" s="32"/>
      <c r="E126" s="32"/>
      <c r="F126" s="32"/>
      <c r="G126" s="40"/>
      <c r="H126" s="29"/>
      <c r="I126" s="32"/>
      <c r="J126" s="29"/>
      <c r="K126" s="42"/>
    </row>
    <row r="127" spans="2:11">
      <c r="B127" s="21"/>
      <c r="C127" s="32"/>
      <c r="D127" s="32"/>
      <c r="E127" s="32"/>
      <c r="F127" s="32"/>
      <c r="G127" s="40"/>
      <c r="H127" s="29"/>
      <c r="I127" s="32"/>
      <c r="J127" s="29"/>
      <c r="K127" s="42"/>
    </row>
    <row r="128" spans="2:11" ht="27">
      <c r="B128" s="175" t="s">
        <v>235</v>
      </c>
      <c r="C128" s="165"/>
      <c r="D128" s="165"/>
      <c r="E128" s="165"/>
      <c r="F128" s="165"/>
      <c r="G128" s="169"/>
      <c r="H128" s="170"/>
      <c r="I128" s="165"/>
      <c r="J128" s="170"/>
      <c r="K128" s="176"/>
    </row>
    <row r="129" spans="2:11">
      <c r="B129" s="21"/>
      <c r="C129" s="32"/>
      <c r="D129" s="32"/>
      <c r="E129" s="32"/>
      <c r="F129" s="32"/>
      <c r="G129" s="40"/>
      <c r="H129" s="29"/>
      <c r="I129" s="32"/>
      <c r="J129" s="29"/>
      <c r="K129" s="42"/>
    </row>
    <row r="130" spans="2:11" ht="22.5">
      <c r="B130" s="33" t="s">
        <v>236</v>
      </c>
      <c r="C130" s="32"/>
      <c r="D130" s="32"/>
      <c r="E130" s="32"/>
      <c r="F130" s="32"/>
      <c r="G130" s="40"/>
      <c r="H130" s="29"/>
      <c r="I130" s="32"/>
      <c r="J130" s="29"/>
      <c r="K130" s="42"/>
    </row>
    <row r="131" spans="2:11">
      <c r="B131" s="21"/>
      <c r="C131" s="32"/>
      <c r="D131" s="32"/>
      <c r="E131" s="32"/>
      <c r="F131" s="32"/>
      <c r="G131" s="40"/>
      <c r="H131" s="29"/>
      <c r="I131" s="32"/>
      <c r="J131" s="29"/>
      <c r="K131" s="42"/>
    </row>
    <row r="132" spans="2:11">
      <c r="B132" s="35" t="s">
        <v>38</v>
      </c>
      <c r="C132" s="36" t="s">
        <v>39</v>
      </c>
      <c r="D132" s="36" t="s">
        <v>13</v>
      </c>
      <c r="E132" s="36" t="s">
        <v>1128</v>
      </c>
      <c r="F132" s="36" t="s">
        <v>842</v>
      </c>
      <c r="G132" s="37" t="s">
        <v>11</v>
      </c>
      <c r="H132" s="37" t="s">
        <v>41</v>
      </c>
      <c r="I132" s="37" t="s">
        <v>42</v>
      </c>
      <c r="J132" s="37" t="s">
        <v>43</v>
      </c>
      <c r="K132" s="38" t="s">
        <v>44</v>
      </c>
    </row>
    <row r="133" spans="2:11" ht="45">
      <c r="B133" s="39" t="s">
        <v>237</v>
      </c>
      <c r="C133" s="40" t="s">
        <v>46</v>
      </c>
      <c r="D133" s="40" t="s">
        <v>238</v>
      </c>
      <c r="E133" s="40" t="s">
        <v>239</v>
      </c>
      <c r="F133" s="40" t="s">
        <v>1083</v>
      </c>
      <c r="G133" s="40" t="str">
        <f xml:space="preserve"> IF(F133=$C$13,"Ok","Les besoins en ressources sont évalués de manière réactive sans vision prospective des besoins futurs.")</f>
        <v>Les besoins en ressources sont évalués de manière réactive sans vision prospective des besoins futurs.</v>
      </c>
      <c r="H133" s="29" t="str">
        <f xml:space="preserve"> IF(F133=$C$13,"Ok à maintenir","Mettre en place une planification stratégique des ressources intégrant les futurs projets d'innovation, les nouvelles technologies et les compétences émergentes nécessaires à la croissance du bureau d'études.")</f>
        <v>Mettre en place une planification stratégique des ressources intégrant les futurs projets d'innovation, les nouvelles technologies et les compétences émergentes nécessaires à la croissance du bureau d'études.</v>
      </c>
      <c r="I133" s="41" t="s">
        <v>62</v>
      </c>
      <c r="J133" s="29" t="str">
        <f xml:space="preserve"> IF(F133=$C$13,"-","30jours")</f>
        <v>30jours</v>
      </c>
      <c r="K133" s="42" t="str">
        <f xml:space="preserve"> IF(F133=$C$13,"-","Ouverte")</f>
        <v>Ouverte</v>
      </c>
    </row>
    <row r="134" spans="2:11" ht="45">
      <c r="B134" s="39" t="s">
        <v>240</v>
      </c>
      <c r="C134" s="40" t="s">
        <v>46</v>
      </c>
      <c r="D134" s="40" t="s">
        <v>241</v>
      </c>
      <c r="E134" s="40" t="s">
        <v>242</v>
      </c>
      <c r="F134" s="40" t="s">
        <v>1083</v>
      </c>
      <c r="G134" s="40" t="str">
        <f xml:space="preserve"> IF(F134=$C$13,"Ok","La surcharge de travail est constatée mais aucun indicateur de capacité n'est utilisé.")</f>
        <v>La surcharge de travail est constatée mais aucun indicateur de capacité n'est utilisé.</v>
      </c>
      <c r="H134" s="29" t="str">
        <f xml:space="preserve"> IF(F134=$C$13,"Ok à maintenir","Déployer un système de pilotage de la charge et de la capacité permettant d'anticiper les besoins et d'optimiser l'allocation des ressources grâce à des outils numériques collaboratifs.")</f>
        <v>Déployer un système de pilotage de la charge et de la capacité permettant d'anticiper les besoins et d'optimiser l'allocation des ressources grâce à des outils numériques collaboratifs.</v>
      </c>
      <c r="I134" s="41" t="s">
        <v>243</v>
      </c>
      <c r="J134" s="29" t="str">
        <f xml:space="preserve"> IF(F134=$C$13,"-","30jours")</f>
        <v>30jours</v>
      </c>
      <c r="K134" s="42" t="str">
        <f xml:space="preserve"> IF(F134=$C$13,"-","Ouverte")</f>
        <v>Ouverte</v>
      </c>
    </row>
    <row r="135" spans="2:11" ht="22.5">
      <c r="B135" s="33" t="s">
        <v>244</v>
      </c>
      <c r="C135" s="32"/>
      <c r="D135" s="32"/>
      <c r="E135" s="32"/>
      <c r="F135" s="32"/>
      <c r="G135" s="40"/>
      <c r="H135" s="29"/>
      <c r="I135" s="32"/>
      <c r="J135" s="29"/>
      <c r="K135" s="42"/>
    </row>
    <row r="136" spans="2:11">
      <c r="B136" s="21"/>
      <c r="C136" s="32"/>
      <c r="D136" s="32"/>
      <c r="E136" s="32"/>
      <c r="F136" s="32"/>
      <c r="G136" s="40"/>
      <c r="H136" s="29"/>
      <c r="I136" s="32"/>
      <c r="J136" s="29"/>
      <c r="K136" s="42"/>
    </row>
    <row r="137" spans="2:11">
      <c r="B137" s="35" t="s">
        <v>38</v>
      </c>
      <c r="C137" s="36" t="s">
        <v>39</v>
      </c>
      <c r="D137" s="36" t="s">
        <v>13</v>
      </c>
      <c r="E137" s="36" t="s">
        <v>1128</v>
      </c>
      <c r="F137" s="36" t="s">
        <v>842</v>
      </c>
      <c r="G137" s="37" t="s">
        <v>11</v>
      </c>
      <c r="H137" s="37" t="s">
        <v>41</v>
      </c>
      <c r="I137" s="37" t="s">
        <v>42</v>
      </c>
      <c r="J137" s="37" t="s">
        <v>43</v>
      </c>
      <c r="K137" s="38" t="s">
        <v>44</v>
      </c>
    </row>
    <row r="138" spans="2:11" ht="30">
      <c r="B138" s="39" t="s">
        <v>245</v>
      </c>
      <c r="C138" s="40" t="s">
        <v>46</v>
      </c>
      <c r="D138" s="40" t="s">
        <v>246</v>
      </c>
      <c r="E138" s="40" t="s">
        <v>247</v>
      </c>
      <c r="F138" s="40" t="s">
        <v>1083</v>
      </c>
      <c r="G138" s="40" t="str">
        <f xml:space="preserve"> IF(F138=$C$13,"Ok","Les retards récurrents démontrent une inadéquation entre la charge de travail et les effectifs disponibles.")</f>
        <v>Les retards récurrents démontrent une inadéquation entre la charge de travail et les effectifs disponibles.</v>
      </c>
      <c r="H138" s="29" t="str">
        <f xml:space="preserve"> IF(F138=$C$13,"Ok à maintenir","Réaliser une planification prévisionnelle des effectifs intégrant les projets, les nouveaux marchés et les besoins futurs en expertise.")</f>
        <v>Réaliser une planification prévisionnelle des effectifs intégrant les projets, les nouveaux marchés et les besoins futurs en expertise.</v>
      </c>
      <c r="I138" s="41" t="s">
        <v>156</v>
      </c>
      <c r="J138" s="29" t="str">
        <f xml:space="preserve"> IF(F138=$C$13,"-","30jours")</f>
        <v>30jours</v>
      </c>
      <c r="K138" s="42" t="str">
        <f xml:space="preserve"> IF(F138=$C$13,"-","Ouverte")</f>
        <v>Ouverte</v>
      </c>
    </row>
    <row r="139" spans="2:11" ht="45">
      <c r="B139" s="39" t="s">
        <v>248</v>
      </c>
      <c r="C139" s="40" t="s">
        <v>187</v>
      </c>
      <c r="D139" s="40" t="s">
        <v>249</v>
      </c>
      <c r="E139" s="40" t="s">
        <v>250</v>
      </c>
      <c r="F139" s="40" t="s">
        <v>1083</v>
      </c>
      <c r="G139" s="40" t="str">
        <f xml:space="preserve"> IF(F139=$C$13,"Ok","Aucune cartographie des compétences n'est disponible.")</f>
        <v>Aucune cartographie des compétences n'est disponible.</v>
      </c>
      <c r="H139" s="29" t="str">
        <f xml:space="preserve"> IF(F139=$C$13,"Ok à maintenir","Élaborer une matrice de compétences intégrant les compétences actuelles et futures liées au BIM, à l'IA, aux SIG, au Digital Twin et aux nouvelles technologies du secteur.")</f>
        <v>Élaborer une matrice de compétences intégrant les compétences actuelles et futures liées au BIM, à l'IA, aux SIG, au Digital Twin et aux nouvelles technologies du secteur.</v>
      </c>
      <c r="I139" s="41" t="s">
        <v>251</v>
      </c>
      <c r="J139" s="29" t="str">
        <f xml:space="preserve"> IF(F139=$C$13,"-","30jours")</f>
        <v>30jours</v>
      </c>
      <c r="K139" s="42" t="str">
        <f xml:space="preserve"> IF(F139=$C$13,"-","Ouverte")</f>
        <v>Ouverte</v>
      </c>
    </row>
    <row r="140" spans="2:11" ht="30">
      <c r="B140" s="39" t="s">
        <v>252</v>
      </c>
      <c r="C140" s="40" t="s">
        <v>46</v>
      </c>
      <c r="D140" s="40" t="s">
        <v>253</v>
      </c>
      <c r="E140" s="40" t="s">
        <v>254</v>
      </c>
      <c r="F140" s="40" t="s">
        <v>1083</v>
      </c>
      <c r="G140" s="40" t="str">
        <f xml:space="preserve"> IF(F140=$C$13,"Ok","L'absence d'un collaborateur clé bloque certaines études.")</f>
        <v>L'absence d'un collaborateur clé bloque certaines études.</v>
      </c>
      <c r="H140" s="29" t="str">
        <f xml:space="preserve"> IF(F140=$C$13,"Ok à maintenir","Mettre en œuvre un programme de transfert des connaissances et de polyvalence afin de réduire la dépendance aux experts uniques.")</f>
        <v>Mettre en œuvre un programme de transfert des connaissances et de polyvalence afin de réduire la dépendance aux experts uniques.</v>
      </c>
      <c r="I140" s="41" t="s">
        <v>243</v>
      </c>
      <c r="J140" s="29" t="str">
        <f xml:space="preserve"> IF(F140=$C$13,"-","30jours")</f>
        <v>30jours</v>
      </c>
      <c r="K140" s="42" t="str">
        <f xml:space="preserve"> IF(F140=$C$13,"-","Ouverte")</f>
        <v>Ouverte</v>
      </c>
    </row>
    <row r="141" spans="2:11" ht="22.5">
      <c r="B141" s="33" t="s">
        <v>255</v>
      </c>
      <c r="C141" s="32"/>
      <c r="D141" s="32"/>
      <c r="E141" s="32"/>
      <c r="F141" s="32"/>
      <c r="G141" s="40"/>
      <c r="H141" s="29"/>
      <c r="I141" s="32"/>
      <c r="J141" s="29"/>
      <c r="K141" s="42"/>
    </row>
    <row r="142" spans="2:11">
      <c r="B142" s="21"/>
      <c r="C142" s="32"/>
      <c r="D142" s="32"/>
      <c r="E142" s="32"/>
      <c r="F142" s="32"/>
      <c r="G142" s="40"/>
      <c r="H142" s="29"/>
      <c r="I142" s="32"/>
      <c r="J142" s="29"/>
      <c r="K142" s="42"/>
    </row>
    <row r="143" spans="2:11">
      <c r="B143" s="21"/>
      <c r="C143" s="32"/>
      <c r="D143" s="32"/>
      <c r="E143" s="32"/>
      <c r="F143" s="32"/>
      <c r="G143" s="40"/>
      <c r="H143" s="29"/>
      <c r="I143" s="32"/>
      <c r="J143" s="29"/>
      <c r="K143" s="42"/>
    </row>
    <row r="144" spans="2:11">
      <c r="B144" s="35" t="s">
        <v>38</v>
      </c>
      <c r="C144" s="36" t="s">
        <v>39</v>
      </c>
      <c r="D144" s="36" t="s">
        <v>13</v>
      </c>
      <c r="E144" s="36" t="s">
        <v>1128</v>
      </c>
      <c r="F144" s="36" t="s">
        <v>842</v>
      </c>
      <c r="G144" s="37" t="s">
        <v>11</v>
      </c>
      <c r="H144" s="37" t="s">
        <v>41</v>
      </c>
      <c r="I144" s="37" t="s">
        <v>42</v>
      </c>
      <c r="J144" s="37" t="s">
        <v>43</v>
      </c>
      <c r="K144" s="38" t="s">
        <v>44</v>
      </c>
    </row>
    <row r="145" spans="2:11" ht="30">
      <c r="B145" s="39" t="s">
        <v>256</v>
      </c>
      <c r="C145" s="40" t="s">
        <v>79</v>
      </c>
      <c r="D145" s="40" t="s">
        <v>257</v>
      </c>
      <c r="E145" s="40" t="s">
        <v>258</v>
      </c>
      <c r="F145" s="40" t="s">
        <v>1083</v>
      </c>
      <c r="G145" s="40" t="str">
        <f xml:space="preserve"> IF(F145=$C$13,"Ok","Logiciels non maitrisés / logiciels non validés ou non conformes aux exigences de l'entreprise.")</f>
        <v>Logiciels non maitrisés / logiciels non validés ou non conformes aux exigences de l'entreprise.</v>
      </c>
      <c r="H145" s="29" t="str">
        <f xml:space="preserve"> IF(F145=$C$13,"Ok à maintenir","Evaluation régulière des technologies adequates et la gestion centralisée des licences / etablir des formations regulieres et adequates aux besoins")</f>
        <v>Evaluation régulière des technologies adequates et la gestion centralisée des licences / etablir des formations regulieres et adequates aux besoins</v>
      </c>
      <c r="I145" s="41" t="s">
        <v>82</v>
      </c>
      <c r="J145" s="29" t="str">
        <f xml:space="preserve"> IF(F145=$C$13,"-","30jours")</f>
        <v>30jours</v>
      </c>
      <c r="K145" s="42" t="str">
        <f xml:space="preserve"> IF(F145=$C$13,"-","Ouverte")</f>
        <v>Ouverte</v>
      </c>
    </row>
    <row r="146" spans="2:11" ht="30">
      <c r="B146" s="39" t="s">
        <v>259</v>
      </c>
      <c r="C146" s="43" t="s">
        <v>260</v>
      </c>
      <c r="D146" s="40" t="s">
        <v>261</v>
      </c>
      <c r="E146" s="40" t="s">
        <v>262</v>
      </c>
      <c r="F146" s="40" t="s">
        <v>1083</v>
      </c>
      <c r="G146" s="40" t="str">
        <f xml:space="preserve"> IF(F146=$C$13,"Ok","Les pannes répétitives impactent la productivité des équipes.")</f>
        <v>Les pannes répétitives impactent la productivité des équipes.</v>
      </c>
      <c r="H146" s="29" t="str">
        <f xml:space="preserve"> IF(F146=$C$13,"Ok à maintenir","Mettre en place une stratégie de modernisation numérique et un plan de renouvellement technologique.")</f>
        <v>Mettre en place une stratégie de modernisation numérique et un plan de renouvellement technologique.</v>
      </c>
      <c r="I146" s="41" t="s">
        <v>263</v>
      </c>
      <c r="J146" s="29" t="str">
        <f xml:space="preserve"> IF(F146=$C$13,"-","30jours")</f>
        <v>30jours</v>
      </c>
      <c r="K146" s="42" t="str">
        <f xml:space="preserve"> IF(F146=$C$13,"-","Ouverte")</f>
        <v>Ouverte</v>
      </c>
    </row>
    <row r="147" spans="2:11" ht="30">
      <c r="B147" s="39" t="s">
        <v>264</v>
      </c>
      <c r="C147" s="40" t="s">
        <v>260</v>
      </c>
      <c r="D147" s="40" t="s">
        <v>265</v>
      </c>
      <c r="E147" s="40" t="s">
        <v>266</v>
      </c>
      <c r="F147" s="40" t="s">
        <v>1083</v>
      </c>
      <c r="G147" s="40" t="str">
        <f xml:space="preserve"> IF(F147=$C$13,"Ok","Les mécanismes de sauvegarde sont insuffisants pour garantir la continuité des activités.")</f>
        <v>Les mécanismes de sauvegarde sont insuffisants pour garantir la continuité des activités.</v>
      </c>
      <c r="H147" s="29" t="str">
        <f xml:space="preserve"> IF(F147=$C$13,"Ok à maintenir","Déployer une solution sécurisée de sauvegarde automatisée et de continuité numérique des activités.")</f>
        <v>Déployer une solution sécurisée de sauvegarde automatisée et de continuité numérique des activités.</v>
      </c>
      <c r="I147" s="41" t="s">
        <v>263</v>
      </c>
      <c r="J147" s="29" t="str">
        <f xml:space="preserve"> IF(F147=$C$13,"-","30jours")</f>
        <v>30jours</v>
      </c>
      <c r="K147" s="42" t="str">
        <f xml:space="preserve"> IF(F147=$C$13,"-","Ouverte")</f>
        <v>Ouverte</v>
      </c>
    </row>
    <row r="148" spans="2:11" ht="22.5">
      <c r="B148" s="33" t="s">
        <v>267</v>
      </c>
      <c r="C148" s="32"/>
      <c r="D148" s="32"/>
      <c r="E148" s="32"/>
      <c r="F148" s="32"/>
      <c r="G148" s="40"/>
      <c r="H148" s="29"/>
      <c r="I148" s="32"/>
      <c r="J148" s="29"/>
      <c r="K148" s="42"/>
    </row>
    <row r="149" spans="2:11">
      <c r="B149" s="21"/>
      <c r="C149" s="32"/>
      <c r="D149" s="32"/>
      <c r="E149" s="32"/>
      <c r="F149" s="32"/>
      <c r="G149" s="40"/>
      <c r="H149" s="29"/>
      <c r="I149" s="32"/>
      <c r="J149" s="29"/>
      <c r="K149" s="42"/>
    </row>
    <row r="150" spans="2:11">
      <c r="B150" s="35" t="s">
        <v>38</v>
      </c>
      <c r="C150" s="36" t="s">
        <v>39</v>
      </c>
      <c r="D150" s="36" t="s">
        <v>13</v>
      </c>
      <c r="E150" s="36" t="s">
        <v>1128</v>
      </c>
      <c r="F150" s="36" t="s">
        <v>842</v>
      </c>
      <c r="G150" s="37" t="s">
        <v>11</v>
      </c>
      <c r="H150" s="37" t="s">
        <v>41</v>
      </c>
      <c r="I150" s="37" t="s">
        <v>42</v>
      </c>
      <c r="J150" s="37" t="s">
        <v>43</v>
      </c>
      <c r="K150" s="38" t="s">
        <v>44</v>
      </c>
    </row>
    <row r="151" spans="2:11" ht="30">
      <c r="B151" s="39" t="s">
        <v>268</v>
      </c>
      <c r="C151" s="40" t="s">
        <v>46</v>
      </c>
      <c r="D151" s="40" t="s">
        <v>269</v>
      </c>
      <c r="E151" s="40" t="s">
        <v>270</v>
      </c>
      <c r="F151" s="40" t="s">
        <v>1083</v>
      </c>
      <c r="G151" s="40" t="str">
        <f xml:space="preserve"> IF(F151=$C$13,"Ok","L'environnement de travail n'est pas favorable.")</f>
        <v>L'environnement de travail n'est pas favorable.</v>
      </c>
      <c r="H151" s="29" t="str">
        <f xml:space="preserve"> IF(F151=$C$13,"Ok à maintenir","Aménager des espaces favorisant le travail dans les bonnes conditions.")</f>
        <v>Aménager des espaces favorisant le travail dans les bonnes conditions.</v>
      </c>
      <c r="I151" s="41" t="s">
        <v>62</v>
      </c>
      <c r="J151" s="29" t="str">
        <f xml:space="preserve"> IF(F151=$C$13,"-","30jours")</f>
        <v>30jours</v>
      </c>
      <c r="K151" s="42" t="str">
        <f xml:space="preserve"> IF(F151=$C$13,"-","Ouverte")</f>
        <v>Ouverte</v>
      </c>
    </row>
    <row r="152" spans="2:11" ht="30">
      <c r="B152" s="39" t="s">
        <v>271</v>
      </c>
      <c r="C152" s="40" t="s">
        <v>55</v>
      </c>
      <c r="D152" s="40" t="s">
        <v>272</v>
      </c>
      <c r="E152" s="40" t="s">
        <v>273</v>
      </c>
      <c r="F152" s="40" t="s">
        <v>1083</v>
      </c>
      <c r="G152" s="40" t="str">
        <f xml:space="preserve"> IF(F152=$C$13,"Ok","Les accès aux documents sensibles ne sont pas maîtrisés.")</f>
        <v>Les accès aux documents sensibles ne sont pas maîtrisés.</v>
      </c>
      <c r="H152" s="29" t="str">
        <f xml:space="preserve"> IF(F152=$C$13,"Ok à maintenir","Déployer une politique de gestion des connaissances et de cybersécurité adaptée aux projets innovants et aux données clients.")</f>
        <v>Déployer une politique de gestion des connaissances et de cybersécurité adaptée aux projets innovants et aux données clients.</v>
      </c>
      <c r="I152" s="41" t="s">
        <v>274</v>
      </c>
      <c r="J152" s="29" t="str">
        <f xml:space="preserve"> IF(F152=$C$13,"-","30jours")</f>
        <v>30jours</v>
      </c>
      <c r="K152" s="42" t="str">
        <f xml:space="preserve"> IF(F152=$C$13,"-","Ouverte")</f>
        <v>Ouverte</v>
      </c>
    </row>
    <row r="153" spans="2:11" ht="22.5">
      <c r="B153" s="33" t="s">
        <v>275</v>
      </c>
      <c r="C153" s="32"/>
      <c r="D153" s="32"/>
      <c r="E153" s="32"/>
      <c r="F153" s="32"/>
      <c r="G153" s="40"/>
      <c r="H153" s="29"/>
      <c r="I153" s="32"/>
      <c r="J153" s="29"/>
      <c r="K153" s="42"/>
    </row>
    <row r="154" spans="2:11">
      <c r="B154" s="21"/>
      <c r="C154" s="32"/>
      <c r="D154" s="32"/>
      <c r="E154" s="32"/>
      <c r="F154" s="32"/>
      <c r="G154" s="40"/>
      <c r="H154" s="29"/>
      <c r="I154" s="32"/>
      <c r="J154" s="29"/>
      <c r="K154" s="42"/>
    </row>
    <row r="155" spans="2:11">
      <c r="B155" s="35" t="s">
        <v>38</v>
      </c>
      <c r="C155" s="36" t="s">
        <v>39</v>
      </c>
      <c r="D155" s="36" t="s">
        <v>13</v>
      </c>
      <c r="E155" s="36" t="s">
        <v>1128</v>
      </c>
      <c r="F155" s="36" t="s">
        <v>842</v>
      </c>
      <c r="G155" s="37" t="s">
        <v>11</v>
      </c>
      <c r="H155" s="37" t="s">
        <v>41</v>
      </c>
      <c r="I155" s="37" t="s">
        <v>42</v>
      </c>
      <c r="J155" s="37" t="s">
        <v>43</v>
      </c>
      <c r="K155" s="38" t="s">
        <v>44</v>
      </c>
    </row>
    <row r="156" spans="2:11" ht="30">
      <c r="B156" s="39" t="s">
        <v>276</v>
      </c>
      <c r="C156" s="43" t="s">
        <v>79</v>
      </c>
      <c r="D156" s="40" t="s">
        <v>277</v>
      </c>
      <c r="E156" s="40" t="s">
        <v>843</v>
      </c>
      <c r="F156" s="40" t="s">
        <v>1083</v>
      </c>
      <c r="G156" s="40" t="str">
        <f xml:space="preserve"> IF(F156=$C$13,"Ok","Les outils utilisés ne sont ni validés ni évalués périodiquement.")</f>
        <v>Les outils utilisés ne sont ni validés ni évalués périodiquement.</v>
      </c>
      <c r="H156" s="29" t="str">
        <f xml:space="preserve"> IF(F156=$C$13,"Ok à maintenir","Mettre en place un processus de qualification des outils numériques et d'évaluation des nouvelles technologies de contrôle.")</f>
        <v>Mettre en place un processus de qualification des outils numériques et d'évaluation des nouvelles technologies de contrôle.</v>
      </c>
      <c r="I156" s="41" t="s">
        <v>82</v>
      </c>
      <c r="J156" s="29" t="str">
        <f xml:space="preserve"> IF(F156=$C$13,"-","30jours")</f>
        <v>30jours</v>
      </c>
      <c r="K156" s="42" t="str">
        <f xml:space="preserve"> IF(F156=$C$13,"-","Ouverte")</f>
        <v>Ouverte</v>
      </c>
    </row>
    <row r="157" spans="2:11" ht="30">
      <c r="B157" s="39" t="s">
        <v>844</v>
      </c>
      <c r="C157" s="43" t="s">
        <v>1080</v>
      </c>
      <c r="D157" s="40" t="s">
        <v>278</v>
      </c>
      <c r="E157" s="40" t="s">
        <v>279</v>
      </c>
      <c r="F157" s="40" t="s">
        <v>1083</v>
      </c>
      <c r="G157" s="40" t="str">
        <f xml:space="preserve"> IF(F157=$C$13,"Ok","Les versions utilisées ne sont pas systématiquement contrôlées.")</f>
        <v>Les versions utilisées ne sont pas systématiquement contrôlées.</v>
      </c>
      <c r="H157" s="29" t="str">
        <f xml:space="preserve"> IF(F157=$C$13,"Ok à maintenir","Établir un processus de validation et de veille technologique des logiciels de calcul afin d'assurer leur fiabilité et leur performance.")</f>
        <v>Établir un processus de validation et de veille technologique des logiciels de calcul afin d'assurer leur fiabilité et leur performance.</v>
      </c>
      <c r="I157" s="41" t="s">
        <v>82</v>
      </c>
      <c r="J157" s="29" t="str">
        <f xml:space="preserve"> IF(F157=$C$13,"-","30jours")</f>
        <v>30jours</v>
      </c>
      <c r="K157" s="42" t="str">
        <f xml:space="preserve"> IF(F157=$C$13,"-","Ouverte")</f>
        <v>Ouverte</v>
      </c>
    </row>
    <row r="158" spans="2:11" ht="22.5">
      <c r="B158" s="33" t="s">
        <v>280</v>
      </c>
      <c r="C158" s="32"/>
      <c r="D158" s="32"/>
      <c r="E158" s="32"/>
      <c r="F158" s="32"/>
      <c r="G158" s="40"/>
      <c r="H158" s="29"/>
      <c r="I158" s="32"/>
      <c r="J158" s="29"/>
      <c r="K158" s="42"/>
    </row>
    <row r="159" spans="2:11">
      <c r="B159" s="21"/>
      <c r="C159" s="32"/>
      <c r="D159" s="32"/>
      <c r="E159" s="32"/>
      <c r="F159" s="32"/>
      <c r="G159" s="40"/>
      <c r="H159" s="29"/>
      <c r="I159" s="32"/>
      <c r="J159" s="29"/>
      <c r="K159" s="42"/>
    </row>
    <row r="160" spans="2:11">
      <c r="B160" s="35" t="s">
        <v>38</v>
      </c>
      <c r="C160" s="36" t="s">
        <v>39</v>
      </c>
      <c r="D160" s="36" t="s">
        <v>13</v>
      </c>
      <c r="E160" s="36" t="s">
        <v>1128</v>
      </c>
      <c r="F160" s="36" t="s">
        <v>842</v>
      </c>
      <c r="G160" s="37" t="s">
        <v>11</v>
      </c>
      <c r="H160" s="37" t="s">
        <v>41</v>
      </c>
      <c r="I160" s="37" t="s">
        <v>42</v>
      </c>
      <c r="J160" s="37" t="s">
        <v>43</v>
      </c>
      <c r="K160" s="38" t="s">
        <v>44</v>
      </c>
    </row>
    <row r="161" spans="2:11" ht="30">
      <c r="B161" s="39" t="s">
        <v>281</v>
      </c>
      <c r="C161" s="40" t="s">
        <v>55</v>
      </c>
      <c r="D161" s="40" t="s">
        <v>282</v>
      </c>
      <c r="E161" s="40" t="s">
        <v>283</v>
      </c>
      <c r="F161" s="40" t="s">
        <v>1083</v>
      </c>
      <c r="G161" s="40" t="str">
        <f xml:space="preserve"> IF(F161=$C$13,"Ok","Les connaissances clés reposent sur quelques personnes seulement.")</f>
        <v>Les connaissances clés reposent sur quelques personnes seulement.</v>
      </c>
      <c r="H161" s="29" t="str">
        <f xml:space="preserve"> IF(F161=$C$13,"Ok à maintenir","Créer une base de connaissances collaborative permettant de capitaliser les savoirs, méthodes et bonnes pratiques de l'entreprise.")</f>
        <v>Créer une base de connaissances collaborative permettant de capitaliser les savoirs, méthodes et bonnes pratiques de l'entreprise.</v>
      </c>
      <c r="I161" s="41" t="s">
        <v>243</v>
      </c>
      <c r="J161" s="29" t="str">
        <f xml:space="preserve"> IF(F161=$C$13,"-","30jours")</f>
        <v>30jours</v>
      </c>
      <c r="K161" s="42" t="str">
        <f xml:space="preserve"> IF(F161=$C$13,"-","Ouverte")</f>
        <v>Ouverte</v>
      </c>
    </row>
    <row r="162" spans="2:11" ht="30">
      <c r="B162" s="178" t="s">
        <v>284</v>
      </c>
      <c r="C162" s="167" t="s">
        <v>74</v>
      </c>
      <c r="D162" s="167" t="s">
        <v>285</v>
      </c>
      <c r="E162" s="167" t="s">
        <v>286</v>
      </c>
      <c r="F162" s="167" t="s">
        <v>1083</v>
      </c>
      <c r="G162" s="167" t="str">
        <f xml:space="preserve"> IF(F162=$C$13,"Ok","Les mêmes erreurs réapparaissent sur plusieurs projets.")</f>
        <v>Les mêmes erreurs réapparaissent sur plusieurs projets.</v>
      </c>
      <c r="H162" s="168" t="str">
        <f xml:space="preserve"> IF(F162=$C$13,"Ok à maintenir","Mettre en place un processus systématique de retour d'expérience (REX) alimentant l'amélioration continue et l'innovation.")</f>
        <v>Mettre en place un processus systématique de retour d'expérience (REX) alimentant l'amélioration continue et l'innovation.</v>
      </c>
      <c r="I162" s="171" t="s">
        <v>77</v>
      </c>
      <c r="J162" s="168" t="str">
        <f xml:space="preserve"> IF(F162=$C$13,"-","30jours")</f>
        <v>30jours</v>
      </c>
      <c r="K162" s="174" t="str">
        <f xml:space="preserve"> IF(F162=$C$13,"-","Ouverte")</f>
        <v>Ouverte</v>
      </c>
    </row>
    <row r="163" spans="2:11" ht="27">
      <c r="B163" s="175" t="s">
        <v>287</v>
      </c>
      <c r="C163" s="165"/>
      <c r="D163" s="165"/>
      <c r="E163" s="165"/>
      <c r="F163" s="165"/>
      <c r="G163" s="169"/>
      <c r="H163" s="170"/>
      <c r="I163" s="165"/>
      <c r="J163" s="170"/>
      <c r="K163" s="176"/>
    </row>
    <row r="164" spans="2:11">
      <c r="B164" s="21"/>
      <c r="C164" s="32"/>
      <c r="D164" s="32"/>
      <c r="E164" s="32"/>
      <c r="F164" s="32"/>
      <c r="G164" s="40"/>
      <c r="H164" s="29"/>
      <c r="I164" s="32"/>
      <c r="J164" s="29"/>
      <c r="K164" s="42"/>
    </row>
    <row r="165" spans="2:11">
      <c r="B165" s="35" t="s">
        <v>38</v>
      </c>
      <c r="C165" s="36" t="s">
        <v>39</v>
      </c>
      <c r="D165" s="36" t="s">
        <v>13</v>
      </c>
      <c r="E165" s="36" t="s">
        <v>1128</v>
      </c>
      <c r="F165" s="36" t="s">
        <v>842</v>
      </c>
      <c r="G165" s="37" t="s">
        <v>11</v>
      </c>
      <c r="H165" s="37" t="s">
        <v>41</v>
      </c>
      <c r="I165" s="37" t="s">
        <v>42</v>
      </c>
      <c r="J165" s="37" t="s">
        <v>43</v>
      </c>
      <c r="K165" s="38" t="s">
        <v>44</v>
      </c>
    </row>
    <row r="166" spans="2:11" ht="45">
      <c r="B166" s="39" t="s">
        <v>288</v>
      </c>
      <c r="C166" s="40" t="s">
        <v>289</v>
      </c>
      <c r="D166" s="40" t="s">
        <v>290</v>
      </c>
      <c r="E166" s="40" t="s">
        <v>291</v>
      </c>
      <c r="F166" s="40" t="s">
        <v>1083</v>
      </c>
      <c r="G166" s="40" t="str">
        <f xml:space="preserve"> IF(F166=$C$13,"Ok","Aucun référentiel de compétences n'est formalisé permettant d'identifier les compétences actuelles et futures nécessaires à la réalisation des études.")</f>
        <v>Aucun référentiel de compétences n'est formalisé permettant d'identifier les compétences actuelles et futures nécessaires à la réalisation des études.</v>
      </c>
      <c r="H166" s="29" t="str">
        <f xml:space="preserve"> IF(F166=$C$13,"Ok à maintenir","Élaborer une cartographie des compétences intégrant les compétences techniques actuelles et les compétences émergentes.")</f>
        <v>Élaborer une cartographie des compétences intégrant les compétences techniques actuelles et les compétences émergentes.</v>
      </c>
      <c r="I166" s="41" t="s">
        <v>292</v>
      </c>
      <c r="J166" s="29" t="str">
        <f xml:space="preserve"> IF(F166=$C$13,"-","30jours")</f>
        <v>30jours</v>
      </c>
      <c r="K166" s="42" t="str">
        <f xml:space="preserve"> IF(F166=$C$13,"-","Ouverte")</f>
        <v>Ouverte</v>
      </c>
    </row>
    <row r="167" spans="2:11" ht="45">
      <c r="B167" s="39" t="s">
        <v>293</v>
      </c>
      <c r="C167" s="40" t="s">
        <v>74</v>
      </c>
      <c r="D167" s="40" t="s">
        <v>294</v>
      </c>
      <c r="E167" s="40" t="s">
        <v>295</v>
      </c>
      <c r="F167" s="40" t="s">
        <v>1083</v>
      </c>
      <c r="G167" s="40" t="str">
        <f xml:space="preserve"> IF(F167=$C$13,"Ok","Plusieurs collaborateurs sont affectés à des projets sans vérification préalable de leur niveau de compétence ni adéquation avec les exigences du projet.")</f>
        <v>Plusieurs collaborateurs sont affectés à des projets sans vérification préalable de leur niveau de compétence ni adéquation avec les exigences du projet.</v>
      </c>
      <c r="H167" s="29" t="str">
        <f xml:space="preserve"> IF(F167=$C$13,"Ok à maintenir","Mettre en place un processus de validation des compétences avant affectation projet ainsi qu'un système d'évaluation des expertises disponibles pour les projets innovants et complexes.")</f>
        <v>Mettre en place un processus de validation des compétences avant affectation projet ainsi qu'un système d'évaluation des expertises disponibles pour les projets innovants et complexes.</v>
      </c>
      <c r="I167" s="41" t="s">
        <v>296</v>
      </c>
      <c r="J167" s="29" t="str">
        <f xml:space="preserve"> IF(F167=$C$13,"-","30jours")</f>
        <v>30jours</v>
      </c>
      <c r="K167" s="42" t="str">
        <f xml:space="preserve"> IF(F167=$C$13,"-","Ouverte")</f>
        <v>Ouverte</v>
      </c>
    </row>
    <row r="168" spans="2:11" ht="45">
      <c r="B168" s="39" t="s">
        <v>845</v>
      </c>
      <c r="C168" s="40" t="s">
        <v>846</v>
      </c>
      <c r="D168" s="40" t="s">
        <v>297</v>
      </c>
      <c r="E168" s="40" t="s">
        <v>298</v>
      </c>
      <c r="F168" s="40" t="s">
        <v>1083</v>
      </c>
      <c r="G168" s="40" t="str">
        <f xml:space="preserve"> IF(F168=$C$13,"Ok","Aucun plan de développement des compétences n'est établi et les besoins de formation ne sont pas identifiés de manière structurée.")</f>
        <v>Aucun plan de développement des compétences n'est établi et les besoins de formation ne sont pas identifiés de manière structurée.</v>
      </c>
      <c r="H168" s="29" t="str">
        <f xml:space="preserve"> IF(F168=$C$13,"Ok à maintenir","Développer un plan annuel de développement des compétences intégrant les nouvelles technologies, les méthodes innovantes de conception et les outils numériques stratégiques pour l'entreprise.")</f>
        <v>Développer un plan annuel de développement des compétences intégrant les nouvelles technologies, les méthodes innovantes de conception et les outils numériques stratégiques pour l'entreprise.</v>
      </c>
      <c r="I168" s="40" t="s">
        <v>846</v>
      </c>
      <c r="J168" s="29" t="str">
        <f xml:space="preserve"> IF(F168=$C$13,"-","30jours")</f>
        <v>30jours</v>
      </c>
      <c r="K168" s="42" t="str">
        <f xml:space="preserve"> IF(F168=$C$13,"-","Ouverte")</f>
        <v>Ouverte</v>
      </c>
    </row>
    <row r="169" spans="2:11" ht="45">
      <c r="B169" s="178" t="s">
        <v>299</v>
      </c>
      <c r="C169" s="167" t="s">
        <v>846</v>
      </c>
      <c r="D169" s="167" t="s">
        <v>300</v>
      </c>
      <c r="E169" s="167" t="s">
        <v>301</v>
      </c>
      <c r="F169" s="167" t="s">
        <v>1083</v>
      </c>
      <c r="G169" s="167" t="str">
        <f xml:space="preserve"> IF(F169=$C$13,"Ok","Aucune mesure n'est réalisée pour vérifier l'acquisition des compétences ou l'application des connaissances acquises.")</f>
        <v>Aucune mesure n'est réalisée pour vérifier l'acquisition des compétences ou l'application des connaissances acquises.</v>
      </c>
      <c r="H169" s="168" t="str">
        <f xml:space="preserve"> IF(F169=$C$13,"Ok à maintenir","Mettre en place un dispositif d'évaluation post-formation basé sur des indicateurs de performance, des mises en situation opérationnelles et le suivi des contributions à l'amélioration et à l'innovation.")</f>
        <v>Mettre en place un dispositif d'évaluation post-formation basé sur des indicateurs de performance, des mises en situation opérationnelles et le suivi des contributions à l'amélioration et à l'innovation.</v>
      </c>
      <c r="I169" s="167" t="s">
        <v>846</v>
      </c>
      <c r="J169" s="168" t="str">
        <f xml:space="preserve"> IF(F169=$C$13,"-","30jours")</f>
        <v>30jours</v>
      </c>
      <c r="K169" s="174" t="str">
        <f xml:space="preserve"> IF(F169=$C$13,"-","Ouverte")</f>
        <v>Ouverte</v>
      </c>
    </row>
    <row r="170" spans="2:11" ht="27">
      <c r="B170" s="175" t="s">
        <v>302</v>
      </c>
      <c r="C170" s="165"/>
      <c r="D170" s="165"/>
      <c r="E170" s="165"/>
      <c r="F170" s="165"/>
      <c r="G170" s="169"/>
      <c r="H170" s="170"/>
      <c r="I170" s="165"/>
      <c r="J170" s="170"/>
      <c r="K170" s="176"/>
    </row>
    <row r="171" spans="2:11">
      <c r="B171" s="21"/>
      <c r="C171" s="32"/>
      <c r="D171" s="32"/>
      <c r="E171" s="32"/>
      <c r="F171" s="32"/>
      <c r="G171" s="40"/>
      <c r="H171" s="29"/>
      <c r="I171" s="32"/>
      <c r="J171" s="29"/>
      <c r="K171" s="42"/>
    </row>
    <row r="172" spans="2:11">
      <c r="B172" s="35" t="s">
        <v>38</v>
      </c>
      <c r="C172" s="36" t="s">
        <v>39</v>
      </c>
      <c r="D172" s="36" t="s">
        <v>13</v>
      </c>
      <c r="E172" s="36" t="s">
        <v>1128</v>
      </c>
      <c r="F172" s="36" t="s">
        <v>842</v>
      </c>
      <c r="G172" s="37" t="s">
        <v>11</v>
      </c>
      <c r="H172" s="37" t="s">
        <v>41</v>
      </c>
      <c r="I172" s="37" t="s">
        <v>42</v>
      </c>
      <c r="J172" s="37" t="s">
        <v>43</v>
      </c>
      <c r="K172" s="38" t="s">
        <v>44</v>
      </c>
    </row>
    <row r="173" spans="2:11" ht="45">
      <c r="B173" s="39" t="s">
        <v>303</v>
      </c>
      <c r="C173" s="40" t="s">
        <v>304</v>
      </c>
      <c r="D173" s="40" t="s">
        <v>305</v>
      </c>
      <c r="E173" s="40" t="s">
        <v>306</v>
      </c>
      <c r="F173" s="40" t="s">
        <v>1083</v>
      </c>
      <c r="G173" s="40" t="str">
        <f xml:space="preserve"> IF(F173=$C$13,"Ok","Les collaborateurs interrogés ne sont pas en mesure d'expliquer les orientations qualité de l'entreprise ni leurs objectifs associés.")</f>
        <v>Les collaborateurs interrogés ne sont pas en mesure d'expliquer les orientations qualité de l'entreprise ni leurs objectifs associés.</v>
      </c>
      <c r="H173" s="29" t="str">
        <f xml:space="preserve"> IF(F173=$C$13,"Ok à maintenir","Mettre en œuvre un programme de communication interne sur la politique incluant.")</f>
        <v>Mettre en œuvre un programme de communication interne sur la politique incluant.</v>
      </c>
      <c r="I173" s="41" t="s">
        <v>53</v>
      </c>
      <c r="J173" s="29" t="str">
        <f xml:space="preserve"> IF(F173=$C$13,"-","30jours")</f>
        <v>30jours</v>
      </c>
      <c r="K173" s="42" t="str">
        <f xml:space="preserve"> IF(F173=$C$13,"-","Ouverte")</f>
        <v>Ouverte</v>
      </c>
    </row>
    <row r="174" spans="2:11" ht="45">
      <c r="B174" s="39" t="s">
        <v>307</v>
      </c>
      <c r="C174" s="40" t="s">
        <v>308</v>
      </c>
      <c r="D174" s="40" t="s">
        <v>309</v>
      </c>
      <c r="E174" s="40" t="s">
        <v>847</v>
      </c>
      <c r="F174" s="40" t="s">
        <v>1083</v>
      </c>
      <c r="G174" s="40" t="str">
        <f xml:space="preserve"> IF(F174=$C$13,"Ok","Une partie du personnel considère que la qualité relève uniquement du Responsable Qualité.")</f>
        <v>Une partie du personnel considère que la qualité relève uniquement du Responsable Qualité.</v>
      </c>
      <c r="H174" s="29" t="str">
        <f xml:space="preserve"> IF(F174=$C$13,"Ok à maintenir","Déployer une démarche de culture qualité et innovation démontrant la contribution de chaque collaborateur à la satisfaction client, à la performance des processus et à l'innovation.")</f>
        <v>Déployer une démarche de culture qualité et innovation démontrant la contribution de chaque collaborateur à la satisfaction client, à la performance des processus et à l'innovation.</v>
      </c>
      <c r="I174" s="41" t="s">
        <v>62</v>
      </c>
      <c r="J174" s="29" t="str">
        <f xml:space="preserve"> IF(F174=$C$13,"-","30jours")</f>
        <v>30jours</v>
      </c>
      <c r="K174" s="42" t="str">
        <f xml:space="preserve"> IF(F174=$C$13,"-","Ouverte")</f>
        <v>Ouverte</v>
      </c>
    </row>
    <row r="175" spans="2:11" ht="45">
      <c r="B175" s="178" t="s">
        <v>310</v>
      </c>
      <c r="C175" s="167" t="s">
        <v>308</v>
      </c>
      <c r="D175" s="167" t="s">
        <v>311</v>
      </c>
      <c r="E175" s="167" t="s">
        <v>312</v>
      </c>
      <c r="F175" s="167" t="s">
        <v>1083</v>
      </c>
      <c r="G175" s="167" t="str">
        <f xml:space="preserve"> IF(F175=$C$13,"Ok","Les erreurs observées sur plusieurs projets démontrent une faible sensibilisation aux impacts des non-conformités.")</f>
        <v>Les erreurs observées sur plusieurs projets démontrent une faible sensibilisation aux impacts des non-conformités.</v>
      </c>
      <c r="H175" s="168" t="str">
        <f xml:space="preserve"> IF(F175=$C$13,"Ok à maintenir","Organiser des séances de partage des retours d'expérience et des analyses de causes afin de développer l'apprentissage organisationnel et l'amélioration continue.")</f>
        <v>Organiser des séances de partage des retours d'expérience et des analyses de causes afin de développer l'apprentissage organisationnel et l'amélioration continue.</v>
      </c>
      <c r="I175" s="171" t="s">
        <v>53</v>
      </c>
      <c r="J175" s="168" t="str">
        <f xml:space="preserve"> IF(F175=$C$13,"-","30jours")</f>
        <v>30jours</v>
      </c>
      <c r="K175" s="174" t="str">
        <f xml:space="preserve"> IF(F175=$C$13,"-","Ouverte")</f>
        <v>Ouverte</v>
      </c>
    </row>
    <row r="176" spans="2:11" ht="27">
      <c r="B176" s="175" t="s">
        <v>313</v>
      </c>
      <c r="C176" s="165"/>
      <c r="D176" s="165"/>
      <c r="E176" s="165"/>
      <c r="F176" s="165"/>
      <c r="G176" s="169"/>
      <c r="H176" s="170"/>
      <c r="I176" s="165"/>
      <c r="J176" s="170"/>
      <c r="K176" s="176"/>
    </row>
    <row r="177" spans="2:11">
      <c r="B177" s="21"/>
      <c r="C177" s="32"/>
      <c r="D177" s="32"/>
      <c r="E177" s="32"/>
      <c r="F177" s="32"/>
      <c r="G177" s="40"/>
      <c r="H177" s="29"/>
      <c r="I177" s="32"/>
      <c r="J177" s="29"/>
      <c r="K177" s="42"/>
    </row>
    <row r="178" spans="2:11">
      <c r="B178" s="35" t="s">
        <v>38</v>
      </c>
      <c r="C178" s="36" t="s">
        <v>39</v>
      </c>
      <c r="D178" s="36" t="s">
        <v>13</v>
      </c>
      <c r="E178" s="36" t="s">
        <v>1128</v>
      </c>
      <c r="F178" s="36" t="s">
        <v>842</v>
      </c>
      <c r="G178" s="37" t="s">
        <v>11</v>
      </c>
      <c r="H178" s="37" t="s">
        <v>41</v>
      </c>
      <c r="I178" s="37" t="s">
        <v>42</v>
      </c>
      <c r="J178" s="37" t="s">
        <v>43</v>
      </c>
      <c r="K178" s="38" t="s">
        <v>44</v>
      </c>
    </row>
    <row r="179" spans="2:11" ht="30">
      <c r="B179" s="39" t="s">
        <v>314</v>
      </c>
      <c r="C179" s="40" t="s">
        <v>46</v>
      </c>
      <c r="D179" s="40" t="s">
        <v>315</v>
      </c>
      <c r="E179" s="40" t="s">
        <v>316</v>
      </c>
      <c r="F179" s="40" t="s">
        <v>1083</v>
      </c>
      <c r="G179" s="40" t="str">
        <f xml:space="preserve"> IF(F179=$C$13,"Ok","Les échanges internes reposent essentiellement sur des communications informelles sans processus structuré.")</f>
        <v>Les échanges internes reposent essentiellement sur des communications informelles sans processus structuré.</v>
      </c>
      <c r="H179" s="29" t="str">
        <f xml:space="preserve"> IF(F179=$C$13,"Ok à maintenir","Mettre en place une plateforme collaborative favorisant la circulation de l'information, le partage des connaissances et la gestion des idées innovantes.")</f>
        <v>Mettre en place une plateforme collaborative favorisant la circulation de l'information, le partage des connaissances et la gestion des idées innovantes.</v>
      </c>
      <c r="I179" s="41" t="s">
        <v>62</v>
      </c>
      <c r="J179" s="29" t="str">
        <f xml:space="preserve"> IF(F179=$C$13,"-","30jours")</f>
        <v>30jours</v>
      </c>
      <c r="K179" s="42" t="str">
        <f xml:space="preserve"> IF(F179=$C$13,"-","Ouverte")</f>
        <v>Ouverte</v>
      </c>
    </row>
    <row r="180" spans="2:11" ht="45">
      <c r="B180" s="39" t="s">
        <v>317</v>
      </c>
      <c r="C180" s="40" t="s">
        <v>74</v>
      </c>
      <c r="D180" s="40" t="s">
        <v>318</v>
      </c>
      <c r="E180" s="40" t="s">
        <v>319</v>
      </c>
      <c r="F180" s="40" t="s">
        <v>1083</v>
      </c>
      <c r="G180" s="40" t="str">
        <f xml:space="preserve"> IF(F180=$C$13,"Ok","Des informations contradictoires sont transmises au client par différents interlocuteurs.")</f>
        <v>Des informations contradictoires sont transmises au client par différents interlocuteurs.</v>
      </c>
      <c r="H180" s="29" t="str">
        <f xml:space="preserve"> IF(F180=$C$13,"Ok à maintenir","Formaliser un processus de communication client désignant les interlocuteurs autorisés et intégrant la collecte systématique des besoins émergents et opportunités d'innovation.")</f>
        <v>Formaliser un processus de communication client désignant les interlocuteurs autorisés et intégrant la collecte systématique des besoins émergents et opportunités d'innovation.</v>
      </c>
      <c r="I180" s="41" t="s">
        <v>296</v>
      </c>
      <c r="J180" s="29" t="str">
        <f xml:space="preserve"> IF(F180=$C$13,"-","30jours")</f>
        <v>30jours</v>
      </c>
      <c r="K180" s="42" t="str">
        <f xml:space="preserve"> IF(F180=$C$13,"-","Ouverte")</f>
        <v>Ouverte</v>
      </c>
    </row>
    <row r="181" spans="2:11" ht="30">
      <c r="B181" s="178" t="s">
        <v>320</v>
      </c>
      <c r="C181" s="167" t="s">
        <v>74</v>
      </c>
      <c r="D181" s="167" t="s">
        <v>321</v>
      </c>
      <c r="E181" s="167" t="s">
        <v>322</v>
      </c>
      <c r="F181" s="167" t="s">
        <v>1083</v>
      </c>
      <c r="G181" s="167" t="str">
        <f xml:space="preserve"> IF(F181=$C$13,"Ok","Plusieurs décisions de projet sont prises oralement sans enregistrement ni preuve associée.")</f>
        <v>Plusieurs décisions de projet sont prises oralement sans enregistrement ni preuve associée.</v>
      </c>
      <c r="H181" s="168" t="str">
        <f xml:space="preserve"> IF(F181=$C$13,"Ok à maintenir","Déployer un système numérique de gestion et de traçabilité des décisions afin de capitaliser les connaissances et sécuriser les projets.")</f>
        <v>Déployer un système numérique de gestion et de traçabilité des décisions afin de capitaliser les connaissances et sécuriser les projets.</v>
      </c>
      <c r="I181" s="171" t="s">
        <v>296</v>
      </c>
      <c r="J181" s="168" t="str">
        <f xml:space="preserve"> IF(F181=$C$13,"-","30jours")</f>
        <v>30jours</v>
      </c>
      <c r="K181" s="174" t="str">
        <f xml:space="preserve"> IF(F181=$C$13,"-","Ouverte")</f>
        <v>Ouverte</v>
      </c>
    </row>
    <row r="182" spans="2:11" ht="27">
      <c r="B182" s="34" t="s">
        <v>323</v>
      </c>
      <c r="C182" s="32"/>
      <c r="D182" s="32"/>
      <c r="E182" s="32"/>
      <c r="F182" s="32"/>
      <c r="G182" s="40"/>
      <c r="H182" s="29"/>
      <c r="I182" s="32"/>
      <c r="J182" s="29"/>
      <c r="K182" s="42"/>
    </row>
    <row r="183" spans="2:11">
      <c r="B183" s="21"/>
      <c r="C183" s="32"/>
      <c r="D183" s="32"/>
      <c r="E183" s="32"/>
      <c r="F183" s="32"/>
      <c r="G183" s="40"/>
      <c r="H183" s="29"/>
      <c r="I183" s="32"/>
      <c r="J183" s="29"/>
      <c r="K183" s="42"/>
    </row>
    <row r="184" spans="2:11">
      <c r="B184" s="35" t="s">
        <v>38</v>
      </c>
      <c r="C184" s="36" t="s">
        <v>39</v>
      </c>
      <c r="D184" s="36" t="s">
        <v>13</v>
      </c>
      <c r="E184" s="36" t="s">
        <v>1128</v>
      </c>
      <c r="F184" s="36" t="s">
        <v>842</v>
      </c>
      <c r="G184" s="37" t="s">
        <v>11</v>
      </c>
      <c r="H184" s="37" t="s">
        <v>41</v>
      </c>
      <c r="I184" s="37" t="s">
        <v>42</v>
      </c>
      <c r="J184" s="37" t="s">
        <v>43</v>
      </c>
      <c r="K184" s="38" t="s">
        <v>44</v>
      </c>
    </row>
    <row r="185" spans="2:11" ht="30">
      <c r="B185" s="39" t="s">
        <v>324</v>
      </c>
      <c r="C185" s="40" t="s">
        <v>69</v>
      </c>
      <c r="D185" s="40" t="s">
        <v>325</v>
      </c>
      <c r="E185" s="40" t="s">
        <v>326</v>
      </c>
      <c r="F185" s="40" t="s">
        <v>1083</v>
      </c>
      <c r="G185" s="40" t="str">
        <f xml:space="preserve"> IF(F185=$C$13,"Ok","Des versions obsolètes de documents continuent d'être utilisées dans certaines activités.")</f>
        <v>Des versions obsolètes de documents continuent d'être utilisées dans certaines activités.</v>
      </c>
      <c r="H185" s="29" t="str">
        <f xml:space="preserve"> IF(F185=$C$13,"Ok à maintenir","Mettre en place un système électronique de gestion documentaire garantissant la maîtrise des versions, la diffusion automatique et l'accès aux documents à jour.")</f>
        <v>Mettre en place un système électronique de gestion documentaire garantissant la maîtrise des versions, la diffusion automatique et l'accès aux documents à jour.</v>
      </c>
      <c r="I185" s="41" t="s">
        <v>53</v>
      </c>
      <c r="J185" s="29" t="str">
        <f xml:space="preserve"> IF(F185=$C$13,"-","30jours")</f>
        <v>30jours</v>
      </c>
      <c r="K185" s="42" t="str">
        <f xml:space="preserve"> IF(F185=$C$13,"-","Ouverte")</f>
        <v>Ouverte</v>
      </c>
    </row>
    <row r="186" spans="2:11" ht="30">
      <c r="B186" s="39" t="s">
        <v>327</v>
      </c>
      <c r="C186" s="40" t="s">
        <v>328</v>
      </c>
      <c r="D186" s="40" t="s">
        <v>329</v>
      </c>
      <c r="E186" s="40" t="s">
        <v>330</v>
      </c>
      <c r="F186" s="40" t="s">
        <v>1083</v>
      </c>
      <c r="G186" s="40" t="str">
        <f xml:space="preserve"> IF(F186=$C$13,"Ok","Les modifications apportées aux documents ne sont pas systématiquement enregistrées ni validées.")</f>
        <v>Les modifications apportées aux documents ne sont pas systématiquement enregistrées ni validées.</v>
      </c>
      <c r="H186" s="29" t="str">
        <f xml:space="preserve"> IF(F186=$C$13,"Ok à maintenir","Déployer un workflow numérique de validation et d'historisation permettant la traçabilité complète des évolutions documentaires.")</f>
        <v>Déployer un workflow numérique de validation et d'historisation permettant la traçabilité complète des évolutions documentaires.</v>
      </c>
      <c r="I186" s="41" t="s">
        <v>53</v>
      </c>
      <c r="J186" s="29" t="str">
        <f xml:space="preserve"> IF(F186=$C$13,"-","30jours")</f>
        <v>30jours</v>
      </c>
      <c r="K186" s="42" t="str">
        <f xml:space="preserve"> IF(F186=$C$13,"-","Ouverte")</f>
        <v>Ouverte</v>
      </c>
    </row>
    <row r="187" spans="2:11" ht="45.75" thickBot="1">
      <c r="B187" s="161" t="s">
        <v>331</v>
      </c>
      <c r="C187" s="53" t="s">
        <v>332</v>
      </c>
      <c r="D187" s="53" t="s">
        <v>333</v>
      </c>
      <c r="E187" s="53" t="s">
        <v>334</v>
      </c>
      <c r="F187" s="53" t="s">
        <v>1083</v>
      </c>
      <c r="G187" s="53" t="str">
        <f xml:space="preserve"> IF(F187=$C$13,"Ok","Plusieurs preuves nécessaires à la démonstration de la conformité sont absentes ou incomplètes.")</f>
        <v>Plusieurs preuves nécessaires à la démonstration de la conformité sont absentes ou incomplètes.</v>
      </c>
      <c r="H187" s="158" t="str">
        <f xml:space="preserve"> IF(F187=$C$13,"Ok à maintenir","Mettre en œuvre une stratégie de gestion des connaissances et d'archivage numérique garantissant la conservation, la sécurisation et l'exploitation des informations critiques.")</f>
        <v>Mettre en œuvre une stratégie de gestion des connaissances et d'archivage numérique garantissant la conservation, la sécurisation et l'exploitation des informations critiques.</v>
      </c>
      <c r="I187" s="162" t="s">
        <v>335</v>
      </c>
      <c r="J187" s="158" t="str">
        <f xml:space="preserve"> IF(F187=$C$13,"-","30jours")</f>
        <v>30jours</v>
      </c>
      <c r="K187" s="160" t="str">
        <f xml:space="preserve"> IF(F187=$C$13,"-","Ouverte")</f>
        <v>Ouverte</v>
      </c>
    </row>
    <row r="188" spans="2:11" ht="30">
      <c r="B188" s="64" t="s">
        <v>850</v>
      </c>
      <c r="C188" s="30"/>
      <c r="D188" s="30"/>
      <c r="E188" s="30"/>
      <c r="F188" s="30"/>
      <c r="G188" s="155"/>
      <c r="H188" s="156"/>
      <c r="I188" s="30"/>
      <c r="J188" s="156"/>
      <c r="K188" s="157"/>
    </row>
    <row r="189" spans="2:11">
      <c r="B189" s="21"/>
      <c r="C189" s="32"/>
      <c r="D189" s="32"/>
      <c r="E189" s="32"/>
      <c r="F189" s="32"/>
      <c r="G189" s="40"/>
      <c r="H189" s="29"/>
      <c r="I189" s="32"/>
      <c r="J189" s="29"/>
      <c r="K189" s="42"/>
    </row>
    <row r="190" spans="2:11">
      <c r="B190" s="21" t="s">
        <v>336</v>
      </c>
      <c r="C190" s="32"/>
      <c r="D190" s="32"/>
      <c r="E190" s="32"/>
      <c r="F190" s="32"/>
      <c r="G190" s="40"/>
      <c r="H190" s="29"/>
      <c r="I190" s="32"/>
      <c r="J190" s="29"/>
      <c r="K190" s="42"/>
    </row>
    <row r="191" spans="2:11">
      <c r="B191" s="21"/>
      <c r="C191" s="32"/>
      <c r="D191" s="32"/>
      <c r="E191" s="32"/>
      <c r="F191" s="32"/>
      <c r="G191" s="40"/>
      <c r="H191" s="29"/>
      <c r="I191" s="32"/>
      <c r="J191" s="29"/>
      <c r="K191" s="42"/>
    </row>
    <row r="192" spans="2:11" ht="27">
      <c r="B192" s="175" t="s">
        <v>337</v>
      </c>
      <c r="C192" s="165"/>
      <c r="D192" s="165"/>
      <c r="E192" s="165"/>
      <c r="F192" s="165"/>
      <c r="G192" s="169"/>
      <c r="H192" s="170"/>
      <c r="I192" s="165"/>
      <c r="J192" s="170"/>
      <c r="K192" s="176"/>
    </row>
    <row r="193" spans="2:11">
      <c r="B193" s="21"/>
      <c r="C193" s="32"/>
      <c r="D193" s="32"/>
      <c r="E193" s="32"/>
      <c r="F193" s="32"/>
      <c r="G193" s="40"/>
      <c r="H193" s="29"/>
      <c r="I193" s="32"/>
      <c r="J193" s="29"/>
      <c r="K193" s="42"/>
    </row>
    <row r="194" spans="2:11">
      <c r="B194" s="35" t="s">
        <v>38</v>
      </c>
      <c r="C194" s="36" t="s">
        <v>39</v>
      </c>
      <c r="D194" s="36" t="s">
        <v>13</v>
      </c>
      <c r="E194" s="36" t="s">
        <v>1128</v>
      </c>
      <c r="F194" s="36" t="s">
        <v>842</v>
      </c>
      <c r="G194" s="37" t="s">
        <v>11</v>
      </c>
      <c r="H194" s="37" t="s">
        <v>41</v>
      </c>
      <c r="I194" s="37" t="s">
        <v>42</v>
      </c>
      <c r="J194" s="37" t="s">
        <v>43</v>
      </c>
      <c r="K194" s="38" t="s">
        <v>44</v>
      </c>
    </row>
    <row r="195" spans="2:11" ht="30">
      <c r="B195" s="47" t="s">
        <v>848</v>
      </c>
      <c r="C195" s="40" t="s">
        <v>74</v>
      </c>
      <c r="D195" s="40" t="s">
        <v>338</v>
      </c>
      <c r="E195" s="40" t="s">
        <v>339</v>
      </c>
      <c r="F195" s="40" t="s">
        <v>1108</v>
      </c>
      <c r="G195" s="40" t="str">
        <f xml:space="preserve"> IF(F195=$C$13,"Ok","Plusieurs projets sont lancés sans planning détaillé ni définition préalable des ressources et jalons.")</f>
        <v>Plusieurs projets sont lancés sans planning détaillé ni définition préalable des ressources et jalons.</v>
      </c>
      <c r="H195" s="29" t="str">
        <f xml:space="preserve"> IF(F195=$C$13,"Ok à maintenir","Déployer un processus de planification projet intégrant les outils  collaboratifs, les jalons et les indicateurs de performance projet.")</f>
        <v>Déployer un processus de planification projet intégrant les outils  collaboratifs, les jalons et les indicateurs de performance projet.</v>
      </c>
      <c r="I195" s="41" t="s">
        <v>296</v>
      </c>
      <c r="J195" s="29" t="str">
        <f t="shared" ref="J195:J200" si="4" xml:space="preserve"> IF(F195=$C$13,"-","30jours")</f>
        <v>30jours</v>
      </c>
      <c r="K195" s="42" t="str">
        <f t="shared" ref="K195:K200" si="5" xml:space="preserve"> IF(F195=$C$13,"-","Ouverte")</f>
        <v>Ouverte</v>
      </c>
    </row>
    <row r="196" spans="2:11" ht="45">
      <c r="B196" s="39" t="s">
        <v>340</v>
      </c>
      <c r="C196" s="40" t="s">
        <v>74</v>
      </c>
      <c r="D196" s="40" t="s">
        <v>341</v>
      </c>
      <c r="E196" s="40" t="s">
        <v>342</v>
      </c>
      <c r="F196" s="40" t="s">
        <v>1108</v>
      </c>
      <c r="G196" s="40" t="str">
        <f xml:space="preserve"> IF(F196=$C$13,"Ok","Certaines exigences sont découvertes durant l'exécution du projet, entraînant reprises et retards.")</f>
        <v>Certaines exigences sont découvertes durant l'exécution du projet, entraînant reprises et retards.</v>
      </c>
      <c r="H196" s="29" t="str">
        <f xml:space="preserve"> IF(F196=$C$13,"Ok à maintenir","Mettre en place une phase systématique d'analyse et de validation des besoins clients permettant d'identifier également les opportunités et de création de valeur.")</f>
        <v>Mettre en place une phase systématique d'analyse et de validation des besoins clients permettant d'identifier également les opportunités et de création de valeur.</v>
      </c>
      <c r="I196" s="41" t="s">
        <v>296</v>
      </c>
      <c r="J196" s="29" t="str">
        <f t="shared" si="4"/>
        <v>30jours</v>
      </c>
      <c r="K196" s="42" t="str">
        <f t="shared" si="5"/>
        <v>Ouverte</v>
      </c>
    </row>
    <row r="197" spans="2:11" ht="30">
      <c r="B197" s="47" t="s">
        <v>851</v>
      </c>
      <c r="C197" s="40" t="s">
        <v>343</v>
      </c>
      <c r="D197" s="40" t="s">
        <v>344</v>
      </c>
      <c r="E197" s="43" t="s">
        <v>849</v>
      </c>
      <c r="F197" s="40" t="s">
        <v>1108</v>
      </c>
      <c r="G197" s="40" t="str">
        <f xml:space="preserve"> IF(F197=$C$13,"Ok","Les critères de validation ne sont pas systématiquement établis avant la réalisation des activités.")</f>
        <v>Les critères de validation ne sont pas systématiquement établis avant la réalisation des activités.</v>
      </c>
      <c r="H197" s="29" t="str">
        <f xml:space="preserve"> IF(F197=$C$13,"Ok à maintenir","Formaliser des critères d'approbation intégrant la qualité technique, les performances attendues et les exigences du projet.")</f>
        <v>Formaliser des critères d'approbation intégrant la qualité technique, les performances attendues et les exigences du projet.</v>
      </c>
      <c r="I197" s="41" t="s">
        <v>296</v>
      </c>
      <c r="J197" s="29" t="str">
        <f t="shared" si="4"/>
        <v>30jours</v>
      </c>
      <c r="K197" s="42" t="str">
        <f t="shared" si="5"/>
        <v>Ouverte</v>
      </c>
    </row>
    <row r="198" spans="2:11" ht="30">
      <c r="B198" s="39" t="s">
        <v>345</v>
      </c>
      <c r="C198" s="40" t="s">
        <v>55</v>
      </c>
      <c r="D198" s="43" t="s">
        <v>852</v>
      </c>
      <c r="E198" s="40" t="s">
        <v>346</v>
      </c>
      <c r="F198" s="40" t="s">
        <v>1108</v>
      </c>
      <c r="G198" s="40" t="str">
        <f xml:space="preserve"> IF(F198=$C$13,"Ok","Des insuffisances de ressources apparaissent en cours de réalisation.")</f>
        <v>Des insuffisances de ressources apparaissent en cours de réalisation.</v>
      </c>
      <c r="H198" s="29" t="str">
        <f xml:space="preserve"> IF(F198=$C$13,"Ok à maintenir","Mettre en place une planification prévisionnelle des ressources incluant les compétences et les outils technologiques nécessaires.")</f>
        <v>Mettre en place une planification prévisionnelle des ressources incluant les compétences et les outils technologiques nécessaires.</v>
      </c>
      <c r="I198" s="41" t="s">
        <v>243</v>
      </c>
      <c r="J198" s="29" t="str">
        <f t="shared" si="4"/>
        <v>30jours</v>
      </c>
      <c r="K198" s="42" t="str">
        <f t="shared" si="5"/>
        <v>Ouverte</v>
      </c>
    </row>
    <row r="199" spans="2:11" ht="30">
      <c r="B199" s="39" t="s">
        <v>347</v>
      </c>
      <c r="C199" s="40" t="s">
        <v>74</v>
      </c>
      <c r="D199" s="40" t="s">
        <v>348</v>
      </c>
      <c r="E199" s="40" t="s">
        <v>349</v>
      </c>
      <c r="F199" s="40" t="s">
        <v>1108</v>
      </c>
      <c r="G199" s="40" t="str">
        <f xml:space="preserve"> IF(F199=$C$13,"Ok","Aucun registre des risques projet n'est disponible.")</f>
        <v>Aucun registre des risques projet n'est disponible.</v>
      </c>
      <c r="H199" s="29" t="str">
        <f xml:space="preserve"> IF(F199=$C$13,"Ok à maintenir","Déployer une gestion des risques et opportunités intégrant les risques techniques, organisationnels et les opportunités.")</f>
        <v>Déployer une gestion des risques et opportunités intégrant les risques techniques, organisationnels et les opportunités.</v>
      </c>
      <c r="I199" s="41" t="s">
        <v>296</v>
      </c>
      <c r="J199" s="29" t="str">
        <f t="shared" si="4"/>
        <v>30jours</v>
      </c>
      <c r="K199" s="42" t="str">
        <f t="shared" si="5"/>
        <v>Ouverte</v>
      </c>
    </row>
    <row r="200" spans="2:11" ht="30">
      <c r="B200" s="47" t="s">
        <v>853</v>
      </c>
      <c r="C200" s="40" t="s">
        <v>74</v>
      </c>
      <c r="D200" s="40" t="s">
        <v>350</v>
      </c>
      <c r="E200" s="40" t="s">
        <v>351</v>
      </c>
      <c r="F200" s="40" t="s">
        <v>1108</v>
      </c>
      <c r="G200" s="40" t="str">
        <f xml:space="preserve"> IF(F200=$C$13,"Ok","Plusieurs modifications sont réalisées oralement sans traçabilité.")</f>
        <v>Plusieurs modifications sont réalisées oralement sans traçabilité.</v>
      </c>
      <c r="H200" s="29" t="str">
        <f xml:space="preserve"> IF(F200=$C$13,"Ok à maintenir","Mettre en œuvre un processus  de gestion des modifications permettant l'analyse d'impact, la validation et la capitalisation des changements.")</f>
        <v>Mettre en œuvre un processus  de gestion des modifications permettant l'analyse d'impact, la validation et la capitalisation des changements.</v>
      </c>
      <c r="I200" s="41" t="s">
        <v>296</v>
      </c>
      <c r="J200" s="29" t="str">
        <f t="shared" si="4"/>
        <v>30jours</v>
      </c>
      <c r="K200" s="42" t="str">
        <f t="shared" si="5"/>
        <v>Ouverte</v>
      </c>
    </row>
    <row r="201" spans="2:11">
      <c r="B201" s="21"/>
      <c r="C201" s="32"/>
      <c r="D201" s="32"/>
      <c r="E201" s="32"/>
      <c r="F201" s="32"/>
      <c r="G201" s="40"/>
      <c r="H201" s="29"/>
      <c r="I201" s="32"/>
      <c r="J201" s="29"/>
      <c r="K201" s="42"/>
    </row>
    <row r="202" spans="2:11">
      <c r="B202" s="44" t="s">
        <v>352</v>
      </c>
      <c r="C202" s="32"/>
      <c r="D202" s="32"/>
      <c r="E202" s="32"/>
      <c r="F202" s="32"/>
      <c r="G202" s="40"/>
      <c r="H202" s="29"/>
      <c r="I202" s="32"/>
      <c r="J202" s="29"/>
      <c r="K202" s="42"/>
    </row>
    <row r="203" spans="2:11">
      <c r="B203" s="46"/>
      <c r="C203" s="32"/>
      <c r="D203" s="32"/>
      <c r="E203" s="32"/>
      <c r="F203" s="32"/>
      <c r="G203" s="40"/>
      <c r="H203" s="29"/>
      <c r="I203" s="32"/>
      <c r="J203" s="29"/>
      <c r="K203" s="42"/>
    </row>
    <row r="204" spans="2:11">
      <c r="B204" s="49" t="s">
        <v>854</v>
      </c>
      <c r="C204" s="32"/>
      <c r="D204" s="32"/>
      <c r="E204" s="32"/>
      <c r="F204" s="32"/>
      <c r="G204" s="40"/>
      <c r="H204" s="29"/>
      <c r="I204" s="32"/>
      <c r="J204" s="29"/>
      <c r="K204" s="42"/>
    </row>
    <row r="205" spans="2:11">
      <c r="B205" s="49" t="s">
        <v>856</v>
      </c>
      <c r="C205" s="32"/>
      <c r="D205" s="32"/>
      <c r="E205" s="32"/>
      <c r="F205" s="32"/>
      <c r="G205" s="40"/>
      <c r="H205" s="29"/>
      <c r="I205" s="32"/>
      <c r="J205" s="29"/>
      <c r="K205" s="42"/>
    </row>
    <row r="206" spans="2:11">
      <c r="B206" s="181" t="s">
        <v>855</v>
      </c>
      <c r="C206" s="166"/>
      <c r="D206" s="166"/>
      <c r="E206" s="166"/>
      <c r="F206" s="166"/>
      <c r="G206" s="167"/>
      <c r="H206" s="168"/>
      <c r="I206" s="166"/>
      <c r="J206" s="168"/>
      <c r="K206" s="174"/>
    </row>
    <row r="207" spans="2:11" ht="27">
      <c r="B207" s="175" t="s">
        <v>353</v>
      </c>
      <c r="C207" s="165"/>
      <c r="D207" s="165"/>
      <c r="E207" s="165"/>
      <c r="F207" s="165"/>
      <c r="G207" s="169"/>
      <c r="H207" s="170"/>
      <c r="I207" s="165"/>
      <c r="J207" s="170"/>
      <c r="K207" s="176"/>
    </row>
    <row r="208" spans="2:11">
      <c r="B208" s="21"/>
      <c r="C208" s="32"/>
      <c r="D208" s="32"/>
      <c r="E208" s="32"/>
      <c r="F208" s="32"/>
      <c r="G208" s="40"/>
      <c r="H208" s="29"/>
      <c r="I208" s="32"/>
      <c r="J208" s="29"/>
      <c r="K208" s="42"/>
    </row>
    <row r="209" spans="2:11" ht="22.5">
      <c r="B209" s="33" t="s">
        <v>354</v>
      </c>
      <c r="C209" s="32"/>
      <c r="D209" s="32"/>
      <c r="E209" s="32"/>
      <c r="F209" s="32"/>
      <c r="G209" s="40"/>
      <c r="H209" s="29"/>
      <c r="I209" s="32"/>
      <c r="J209" s="29"/>
      <c r="K209" s="42"/>
    </row>
    <row r="210" spans="2:11">
      <c r="B210" s="21"/>
      <c r="C210" s="32"/>
      <c r="D210" s="32"/>
      <c r="E210" s="32"/>
      <c r="F210" s="32"/>
      <c r="G210" s="40"/>
      <c r="H210" s="29"/>
      <c r="I210" s="32"/>
      <c r="J210" s="29"/>
      <c r="K210" s="42"/>
    </row>
    <row r="211" spans="2:11">
      <c r="B211" s="35" t="s">
        <v>38</v>
      </c>
      <c r="C211" s="36" t="s">
        <v>39</v>
      </c>
      <c r="D211" s="36" t="s">
        <v>13</v>
      </c>
      <c r="E211" s="36" t="s">
        <v>1128</v>
      </c>
      <c r="F211" s="36" t="s">
        <v>842</v>
      </c>
      <c r="G211" s="37" t="s">
        <v>11</v>
      </c>
      <c r="H211" s="37" t="s">
        <v>41</v>
      </c>
      <c r="I211" s="37" t="s">
        <v>42</v>
      </c>
      <c r="J211" s="37" t="s">
        <v>43</v>
      </c>
      <c r="K211" s="38" t="s">
        <v>44</v>
      </c>
    </row>
    <row r="212" spans="2:11" ht="30">
      <c r="B212" s="39" t="s">
        <v>355</v>
      </c>
      <c r="C212" s="40" t="s">
        <v>356</v>
      </c>
      <c r="D212" s="40" t="s">
        <v>357</v>
      </c>
      <c r="E212" s="40" t="s">
        <v>358</v>
      </c>
      <c r="F212" s="40" t="s">
        <v>1108</v>
      </c>
      <c r="G212" s="40" t="str">
        <f xml:space="preserve"> IF(F212=$C$13,"Ok","Plusieurs collaborateurs communiquent directement avec le client sans coordination.")</f>
        <v>Plusieurs collaborateurs communiquent directement avec le client sans coordination.</v>
      </c>
      <c r="H212" s="29" t="str">
        <f xml:space="preserve"> IF(F212=$C$13,"Ok à maintenir","Formaliser un processus de communication client intégrant la collecte des besoins futurs et des opportunités.")</f>
        <v>Formaliser un processus de communication client intégrant la collecte des besoins futurs et des opportunités.</v>
      </c>
      <c r="I212" s="41" t="s">
        <v>359</v>
      </c>
      <c r="J212" s="29" t="str">
        <f xml:space="preserve"> IF(F212=$C$13,"-","30jours")</f>
        <v>30jours</v>
      </c>
      <c r="K212" s="42" t="str">
        <f xml:space="preserve"> IF(F212=$C$13,"-","Ouverte")</f>
        <v>Ouverte</v>
      </c>
    </row>
    <row r="213" spans="2:11" ht="30">
      <c r="B213" s="39" t="s">
        <v>360</v>
      </c>
      <c r="C213" s="40" t="s">
        <v>74</v>
      </c>
      <c r="D213" s="40" t="s">
        <v>361</v>
      </c>
      <c r="E213" s="40" t="s">
        <v>362</v>
      </c>
      <c r="F213" s="40" t="s">
        <v>1108</v>
      </c>
      <c r="G213" s="40" t="str">
        <f xml:space="preserve"> IF(F213=$C$13,"Ok","Les demandes sont communiquées verbalement sans traçabilité.")</f>
        <v>Les demandes sont communiquées verbalement sans traçabilité.</v>
      </c>
      <c r="H213" s="29" t="str">
        <f xml:space="preserve"> IF(F213=$C$13,"Ok à maintenir","Déployer un système de gestion des demandes clients garantissant leur suivi et leur exploitation pour l'amélioration continue.")</f>
        <v>Déployer un système de gestion des demandes clients garantissant leur suivi et leur exploitation pour l'amélioration continue.</v>
      </c>
      <c r="I213" s="41" t="s">
        <v>296</v>
      </c>
      <c r="J213" s="29" t="str">
        <f xml:space="preserve"> IF(F213=$C$13,"-","30jours")</f>
        <v>30jours</v>
      </c>
      <c r="K213" s="42" t="str">
        <f xml:space="preserve"> IF(F213=$C$13,"-","Ouverte")</f>
        <v>Ouverte</v>
      </c>
    </row>
    <row r="214" spans="2:11" ht="30">
      <c r="B214" s="39" t="s">
        <v>363</v>
      </c>
      <c r="C214" s="40" t="s">
        <v>328</v>
      </c>
      <c r="D214" s="40" t="s">
        <v>364</v>
      </c>
      <c r="E214" s="40" t="s">
        <v>365</v>
      </c>
      <c r="F214" s="40" t="s">
        <v>1108</v>
      </c>
      <c r="G214" s="40" t="str">
        <f xml:space="preserve"> IF(F214=$C$13,"Ok","Certaines réclamations ne font l'objet d'aucune analyse ni suivi.")</f>
        <v>Certaines réclamations ne font l'objet d'aucune analyse ni suivi.</v>
      </c>
      <c r="H214" s="29" t="str">
        <f xml:space="preserve"> IF(F214=$C$13,"Ok à maintenir","Mettre en place un processus d'analyse des réclamations permettant d'identifier des opportunités d'amélioration  des services.")</f>
        <v>Mettre en place un processus d'analyse des réclamations permettant d'identifier des opportunités d'amélioration  des services.</v>
      </c>
      <c r="I214" s="41" t="s">
        <v>53</v>
      </c>
      <c r="J214" s="29" t="str">
        <f xml:space="preserve"> IF(F214=$C$13,"-","30jours")</f>
        <v>30jours</v>
      </c>
      <c r="K214" s="42" t="str">
        <f xml:space="preserve"> IF(F214=$C$13,"-","Ouverte")</f>
        <v>Ouverte</v>
      </c>
    </row>
    <row r="215" spans="2:11" ht="22.5">
      <c r="B215" s="33" t="s">
        <v>366</v>
      </c>
      <c r="C215" s="32"/>
      <c r="D215" s="32"/>
      <c r="E215" s="32"/>
      <c r="F215" s="32"/>
      <c r="G215" s="40"/>
      <c r="H215" s="29"/>
      <c r="I215" s="32"/>
      <c r="J215" s="29"/>
      <c r="K215" s="42"/>
    </row>
    <row r="216" spans="2:11">
      <c r="B216" s="21"/>
      <c r="C216" s="32"/>
      <c r="D216" s="32"/>
      <c r="E216" s="32"/>
      <c r="F216" s="32"/>
      <c r="G216" s="40"/>
      <c r="H216" s="29"/>
      <c r="I216" s="32"/>
      <c r="J216" s="29"/>
      <c r="K216" s="42"/>
    </row>
    <row r="217" spans="2:11">
      <c r="B217" s="35" t="s">
        <v>38</v>
      </c>
      <c r="C217" s="36" t="s">
        <v>39</v>
      </c>
      <c r="D217" s="36" t="s">
        <v>13</v>
      </c>
      <c r="E217" s="36" t="s">
        <v>1128</v>
      </c>
      <c r="F217" s="36" t="s">
        <v>842</v>
      </c>
      <c r="G217" s="37" t="s">
        <v>11</v>
      </c>
      <c r="H217" s="37" t="s">
        <v>41</v>
      </c>
      <c r="I217" s="37" t="s">
        <v>42</v>
      </c>
      <c r="J217" s="37" t="s">
        <v>43</v>
      </c>
      <c r="K217" s="38" t="s">
        <v>44</v>
      </c>
    </row>
    <row r="218" spans="2:11" ht="30">
      <c r="B218" s="39" t="s">
        <v>367</v>
      </c>
      <c r="C218" s="43" t="s">
        <v>407</v>
      </c>
      <c r="D218" s="40" t="s">
        <v>368</v>
      </c>
      <c r="E218" s="40" t="s">
        <v>369</v>
      </c>
      <c r="F218" s="40" t="s">
        <v>1108</v>
      </c>
      <c r="G218" s="40" t="str">
        <f xml:space="preserve"> IF(F218=$C$13,"Ok","Certaines études reposent sur des hypothèses non validées par le client.")</f>
        <v>Certaines études reposent sur des hypothèses non validées par le client.</v>
      </c>
      <c r="H218" s="29" t="str">
        <f xml:space="preserve"> IF(F218=$C$13,"Ok à maintenir","Mettre en place une revue systématique des exigences techniques avec validation formelle et recherche d'optimisations innovantes.")</f>
        <v>Mettre en place une revue systématique des exigences techniques avec validation formelle et recherche d'optimisations innovantes.</v>
      </c>
      <c r="I218" s="41" t="s">
        <v>370</v>
      </c>
      <c r="J218" s="29" t="str">
        <f xml:space="preserve"> IF(F218=$C$13,"-","30jours")</f>
        <v>30jours</v>
      </c>
      <c r="K218" s="42" t="str">
        <f xml:space="preserve"> IF(F218=$C$13,"-","Ouverte")</f>
        <v>Ouverte</v>
      </c>
    </row>
    <row r="219" spans="2:11" ht="30">
      <c r="B219" s="39" t="s">
        <v>371</v>
      </c>
      <c r="C219" s="40" t="s">
        <v>79</v>
      </c>
      <c r="D219" s="40" t="s">
        <v>372</v>
      </c>
      <c r="E219" s="40" t="s">
        <v>373</v>
      </c>
      <c r="F219" s="40" t="s">
        <v>1108</v>
      </c>
      <c r="G219" s="40" t="str">
        <f xml:space="preserve"> IF(F219=$C$13,"Ok","Les normes applicables ne sont pas systématiquement vérifiées avant lancement.")</f>
        <v>Les normes applicables ne sont pas systématiquement vérifiées avant lancement.</v>
      </c>
      <c r="H219" s="29" t="str">
        <f xml:space="preserve"> IF(F219=$C$13,"Ok à maintenir","Déployer une veille réglementaire et technologique permettant d'anticiper les évolutions du secteur.")</f>
        <v>Déployer une veille réglementaire et technologique permettant d'anticiper les évolutions du secteur.</v>
      </c>
      <c r="I219" s="41" t="s">
        <v>82</v>
      </c>
      <c r="J219" s="29" t="str">
        <f xml:space="preserve"> IF(F219=$C$13,"-","30jours")</f>
        <v>30jours</v>
      </c>
      <c r="K219" s="42" t="str">
        <f xml:space="preserve"> IF(F219=$C$13,"-","Ouverte")</f>
        <v>Ouverte</v>
      </c>
    </row>
    <row r="220" spans="2:11" ht="30">
      <c r="B220" s="39" t="s">
        <v>374</v>
      </c>
      <c r="C220" s="40" t="s">
        <v>74</v>
      </c>
      <c r="D220" s="40" t="s">
        <v>375</v>
      </c>
      <c r="E220" s="40" t="s">
        <v>376</v>
      </c>
      <c r="F220" s="40" t="s">
        <v>1108</v>
      </c>
      <c r="G220" s="40" t="str">
        <f xml:space="preserve"> IF(F220=$C$13,"Ok","Les besoins implicites du client ne sont pas analysés.")</f>
        <v>Les besoins implicites du client ne sont pas analysés.</v>
      </c>
      <c r="H220" s="29" t="str">
        <f xml:space="preserve"> IF(F220=$C$13,"Ok à maintenir","Mettre en œuvre des ateliers de compréhension des usages et attentes futures afin de développer des solutions innovantes adaptées.")</f>
        <v>Mettre en œuvre des ateliers de compréhension des usages et attentes futures afin de développer des solutions innovantes adaptées.</v>
      </c>
      <c r="I220" s="41" t="s">
        <v>296</v>
      </c>
      <c r="J220" s="29" t="str">
        <f xml:space="preserve"> IF(F220=$C$13,"-","30jours")</f>
        <v>30jours</v>
      </c>
      <c r="K220" s="42" t="str">
        <f xml:space="preserve"> IF(F220=$C$13,"-","Ouverte")</f>
        <v>Ouverte</v>
      </c>
    </row>
    <row r="221" spans="2:11" ht="30">
      <c r="B221" s="39" t="s">
        <v>377</v>
      </c>
      <c r="C221" s="40" t="s">
        <v>46</v>
      </c>
      <c r="D221" s="40" t="s">
        <v>378</v>
      </c>
      <c r="E221" s="40" t="s">
        <v>379</v>
      </c>
      <c r="F221" s="40" t="s">
        <v>1108</v>
      </c>
      <c r="G221" s="40" t="str">
        <f xml:space="preserve"> IF(F221=$C$13,"Ok","Des documents clients sensibles circulent sans contrôle d'accès.")</f>
        <v>Des documents clients sensibles circulent sans contrôle d'accès.</v>
      </c>
      <c r="H221" s="29" t="str">
        <f xml:space="preserve"> IF(F221=$C$13,"Ok à maintenir","Renforcer la gouvernance de l'information et la cybersécurité pour protéger les données stratégiques et les projets innovants.")</f>
        <v>Renforcer la gouvernance de l'information et la cybersécurité pour protéger les données stratégiques et les projets innovants.</v>
      </c>
      <c r="I221" s="41" t="s">
        <v>380</v>
      </c>
      <c r="J221" s="29" t="str">
        <f xml:space="preserve"> IF(F221=$C$13,"-","30jours")</f>
        <v>30jours</v>
      </c>
      <c r="K221" s="42" t="str">
        <f xml:space="preserve"> IF(F221=$C$13,"-","Ouverte")</f>
        <v>Ouverte</v>
      </c>
    </row>
    <row r="222" spans="2:11" ht="22.5">
      <c r="B222" s="33" t="s">
        <v>381</v>
      </c>
      <c r="C222" s="32"/>
      <c r="D222" s="32"/>
      <c r="E222" s="32"/>
      <c r="F222" s="32"/>
      <c r="G222" s="40"/>
      <c r="H222" s="29"/>
      <c r="I222" s="32"/>
      <c r="J222" s="29"/>
      <c r="K222" s="42"/>
    </row>
    <row r="223" spans="2:11">
      <c r="B223" s="21"/>
      <c r="C223" s="32"/>
      <c r="D223" s="32"/>
      <c r="E223" s="32"/>
      <c r="F223" s="32"/>
      <c r="G223" s="40"/>
      <c r="H223" s="29"/>
      <c r="I223" s="32"/>
      <c r="J223" s="29"/>
      <c r="K223" s="42"/>
    </row>
    <row r="224" spans="2:11">
      <c r="B224" s="35" t="s">
        <v>38</v>
      </c>
      <c r="C224" s="36" t="s">
        <v>39</v>
      </c>
      <c r="D224" s="36" t="s">
        <v>13</v>
      </c>
      <c r="E224" s="36" t="s">
        <v>1128</v>
      </c>
      <c r="F224" s="36" t="s">
        <v>842</v>
      </c>
      <c r="G224" s="37" t="s">
        <v>11</v>
      </c>
      <c r="H224" s="37" t="s">
        <v>41</v>
      </c>
      <c r="I224" s="37" t="s">
        <v>42</v>
      </c>
      <c r="J224" s="37" t="s">
        <v>43</v>
      </c>
      <c r="K224" s="38" t="s">
        <v>44</v>
      </c>
    </row>
    <row r="225" spans="2:11" ht="30">
      <c r="B225" s="39" t="s">
        <v>382</v>
      </c>
      <c r="C225" s="40" t="s">
        <v>74</v>
      </c>
      <c r="D225" s="40" t="s">
        <v>383</v>
      </c>
      <c r="E225" s="40" t="s">
        <v>384</v>
      </c>
      <c r="F225" s="40" t="s">
        <v>1108</v>
      </c>
      <c r="G225" s="40" t="str">
        <f xml:space="preserve"> IF(F225=$C$13,"Ok","Certains projets sont acceptés sans analyse préalable des exigences.")</f>
        <v>Certains projets sont acceptés sans analyse préalable des exigences.</v>
      </c>
      <c r="H225" s="29" t="str">
        <f xml:space="preserve"> IF(F225=$C$13,"Ok à maintenir","Mettre en place une revue d'opportunité intégrant faisabilité, risques et potentiel d'amèlioration.")</f>
        <v>Mettre en place une revue d'opportunité intégrant faisabilité, risques et potentiel d'amèlioration.</v>
      </c>
      <c r="I225" s="41" t="s">
        <v>296</v>
      </c>
      <c r="J225" s="29" t="str">
        <f xml:space="preserve"> IF(F225=$C$13,"-","30jours")</f>
        <v>30jours</v>
      </c>
      <c r="K225" s="42" t="str">
        <f xml:space="preserve"> IF(F225=$C$13,"-","Ouverte")</f>
        <v>Ouverte</v>
      </c>
    </row>
    <row r="226" spans="2:11" ht="30">
      <c r="B226" s="47" t="s">
        <v>857</v>
      </c>
      <c r="C226" s="40" t="s">
        <v>55</v>
      </c>
      <c r="D226" s="40" t="s">
        <v>385</v>
      </c>
      <c r="E226" s="40" t="s">
        <v>386</v>
      </c>
      <c r="F226" s="40" t="s">
        <v>1108</v>
      </c>
      <c r="G226" s="40" t="str">
        <f xml:space="preserve"> IF(F226=$C$13,"Ok","Des projets sont acceptés malgré l'absence de certaines compétences clés.")</f>
        <v>Des projets sont acceptés malgré l'absence de certaines compétences clés.</v>
      </c>
      <c r="H226" s="29" t="str">
        <f xml:space="preserve"> IF(F226=$C$13,"Ok à maintenir","Mettre en œuvre une évaluation systématique des capacités internes et des besoins en partenariats technologiques.")</f>
        <v>Mettre en œuvre une évaluation systématique des capacités internes et des besoins en partenariats technologiques.</v>
      </c>
      <c r="I226" s="41" t="s">
        <v>243</v>
      </c>
      <c r="J226" s="29" t="str">
        <f xml:space="preserve"> IF(F226=$C$13,"-","30jours")</f>
        <v>30jours</v>
      </c>
      <c r="K226" s="42" t="str">
        <f xml:space="preserve"> IF(F226=$C$13,"-","Ouverte")</f>
        <v>Ouverte</v>
      </c>
    </row>
    <row r="227" spans="2:11" ht="30">
      <c r="B227" s="39" t="s">
        <v>387</v>
      </c>
      <c r="C227" s="40" t="s">
        <v>46</v>
      </c>
      <c r="D227" s="40" t="s">
        <v>388</v>
      </c>
      <c r="E227" s="40" t="s">
        <v>389</v>
      </c>
      <c r="F227" s="40" t="s">
        <v>1108</v>
      </c>
      <c r="G227" s="40" t="str">
        <f xml:space="preserve"> IF(F227=$C$13,"Ok","Les écarts identifiés ne font pas l'objet de décisions documentées.")</f>
        <v>Les écarts identifiés ne font pas l'objet de décisions documentées.</v>
      </c>
      <c r="H227" s="29" t="str">
        <f xml:space="preserve"> IF(F227=$C$13,"Ok à maintenir","Formaliser un processus de décision intégrant sous-traitance, partenariat ou acquisition de nouvelles compétences.")</f>
        <v>Formaliser un processus de décision intégrant sous-traitance, partenariat ou acquisition de nouvelles compétences.</v>
      </c>
      <c r="I227" s="41" t="s">
        <v>46</v>
      </c>
      <c r="J227" s="29" t="str">
        <f xml:space="preserve"> IF(F227=$C$13,"-","30jours")</f>
        <v>30jours</v>
      </c>
      <c r="K227" s="42" t="str">
        <f xml:space="preserve"> IF(F227=$C$13,"-","Ouverte")</f>
        <v>Ouverte</v>
      </c>
    </row>
    <row r="228" spans="2:11" ht="30">
      <c r="B228" s="178" t="s">
        <v>390</v>
      </c>
      <c r="C228" s="167" t="s">
        <v>74</v>
      </c>
      <c r="D228" s="167" t="s">
        <v>391</v>
      </c>
      <c r="E228" s="167" t="s">
        <v>392</v>
      </c>
      <c r="F228" s="167" t="s">
        <v>1108</v>
      </c>
      <c r="G228" s="167" t="str">
        <f xml:space="preserve"> IF(F228=$C$13,"Ok","Les changements contractuels ne sont pas systématiquement tracés.")</f>
        <v>Les changements contractuels ne sont pas systématiquement tracés.</v>
      </c>
      <c r="H228" s="168" t="str">
        <f xml:space="preserve"> IF(F228=$C$13,"Ok à maintenir","Déployer un système numérique de gestion des contrats et avenants assurant la traçabilité des évolutions.")</f>
        <v>Déployer un système numérique de gestion des contrats et avenants assurant la traçabilité des évolutions.</v>
      </c>
      <c r="I228" s="171" t="s">
        <v>296</v>
      </c>
      <c r="J228" s="168" t="str">
        <f xml:space="preserve"> IF(F228=$C$13,"-","30jours")</f>
        <v>30jours</v>
      </c>
      <c r="K228" s="174" t="str">
        <f xml:space="preserve"> IF(F228=$C$13,"-","Ouverte")</f>
        <v>Ouverte</v>
      </c>
    </row>
    <row r="229" spans="2:11" ht="27">
      <c r="B229" s="182" t="s">
        <v>862</v>
      </c>
      <c r="C229" s="165"/>
      <c r="D229" s="165"/>
      <c r="E229" s="165"/>
      <c r="F229" s="165"/>
      <c r="G229" s="169"/>
      <c r="H229" s="170"/>
      <c r="I229" s="165"/>
      <c r="J229" s="170"/>
      <c r="K229" s="176"/>
    </row>
    <row r="230" spans="2:11">
      <c r="B230" s="21"/>
      <c r="C230" s="32"/>
      <c r="D230" s="32"/>
      <c r="E230" s="32"/>
      <c r="F230" s="32"/>
      <c r="G230" s="40"/>
      <c r="H230" s="29"/>
      <c r="I230" s="32"/>
      <c r="J230" s="29"/>
      <c r="K230" s="42"/>
    </row>
    <row r="231" spans="2:11" ht="22.5">
      <c r="B231" s="33" t="s">
        <v>393</v>
      </c>
      <c r="C231" s="32"/>
      <c r="D231" s="32"/>
      <c r="E231" s="32"/>
      <c r="F231" s="32"/>
      <c r="G231" s="40"/>
      <c r="H231" s="29"/>
      <c r="I231" s="32"/>
      <c r="J231" s="29"/>
      <c r="K231" s="42"/>
    </row>
    <row r="232" spans="2:11">
      <c r="B232" s="21"/>
      <c r="C232" s="32"/>
      <c r="D232" s="32"/>
      <c r="E232" s="32"/>
      <c r="F232" s="32"/>
      <c r="G232" s="40"/>
      <c r="H232" s="29"/>
      <c r="I232" s="32"/>
      <c r="J232" s="29"/>
      <c r="K232" s="42"/>
    </row>
    <row r="233" spans="2:11">
      <c r="B233" s="35" t="s">
        <v>38</v>
      </c>
      <c r="C233" s="36" t="s">
        <v>39</v>
      </c>
      <c r="D233" s="36" t="s">
        <v>13</v>
      </c>
      <c r="E233" s="36" t="s">
        <v>1128</v>
      </c>
      <c r="F233" s="36" t="s">
        <v>842</v>
      </c>
      <c r="G233" s="37" t="s">
        <v>11</v>
      </c>
      <c r="H233" s="37" t="s">
        <v>41</v>
      </c>
      <c r="I233" s="37" t="s">
        <v>42</v>
      </c>
      <c r="J233" s="37" t="s">
        <v>43</v>
      </c>
      <c r="K233" s="38" t="s">
        <v>44</v>
      </c>
    </row>
    <row r="234" spans="2:11" ht="30">
      <c r="B234" s="47" t="s">
        <v>859</v>
      </c>
      <c r="C234" s="40" t="s">
        <v>79</v>
      </c>
      <c r="D234" s="43" t="s">
        <v>860</v>
      </c>
      <c r="E234" s="43" t="s">
        <v>858</v>
      </c>
      <c r="F234" s="40" t="s">
        <v>1108</v>
      </c>
      <c r="G234" s="40" t="str">
        <f xml:space="preserve"> IF(F234=$C$13,"Ok","Chaque employé applique sa propre méthode de travail.")</f>
        <v>Chaque employé applique sa propre méthode de travail.</v>
      </c>
      <c r="H234" s="29" t="str">
        <f xml:space="preserve"> IF(F234=$C$13,"Ok à maintenir","Formaliser un ou des processus de travail communs pour chaque service, intégrant les bonnes pratiques, les retours d'expérience et les outils innovants.")</f>
        <v>Formaliser un ou des processus de travail communs pour chaque service, intégrant les bonnes pratiques, les retours d'expérience et les outils innovants.</v>
      </c>
      <c r="I234" s="41" t="s">
        <v>82</v>
      </c>
      <c r="J234" s="29" t="str">
        <f xml:space="preserve"> IF(F234=$C$13,"-","30jours")</f>
        <v>30jours</v>
      </c>
      <c r="K234" s="42" t="str">
        <f xml:space="preserve"> IF(F234=$C$13,"-","Ouverte")</f>
        <v>Ouverte</v>
      </c>
    </row>
    <row r="235" spans="2:11" ht="30">
      <c r="B235" s="47" t="s">
        <v>861</v>
      </c>
      <c r="C235" s="40" t="s">
        <v>74</v>
      </c>
      <c r="D235" s="40" t="s">
        <v>394</v>
      </c>
      <c r="E235" s="40" t="s">
        <v>395</v>
      </c>
      <c r="F235" s="40" t="s">
        <v>1108</v>
      </c>
      <c r="G235" s="40" t="str">
        <f xml:space="preserve"> IF(F235=$C$13,"Ok","Les étapes de réalisation varient selon les projets et les intervenants.")</f>
        <v>Les étapes de réalisation varient selon les projets et les intervenants.</v>
      </c>
      <c r="H235" s="29" t="str">
        <f xml:space="preserve"> IF(F235=$C$13,"Ok à maintenir","Standardiser les phases de conception en intégrant les revues techniques, la gestion des connaissances et les activités d'innovation.")</f>
        <v>Standardiser les phases de conception en intégrant les revues techniques, la gestion des connaissances et les activités d'innovation.</v>
      </c>
      <c r="I235" s="41" t="s">
        <v>296</v>
      </c>
      <c r="J235" s="29" t="str">
        <f xml:space="preserve"> IF(F235=$C$13,"-","30jours")</f>
        <v>30jours</v>
      </c>
      <c r="K235" s="42" t="str">
        <f xml:space="preserve"> IF(F235=$C$13,"-","Ouverte")</f>
        <v>Ouverte</v>
      </c>
    </row>
    <row r="236" spans="2:11" ht="22.5">
      <c r="B236" s="50" t="s">
        <v>863</v>
      </c>
      <c r="C236" s="32"/>
      <c r="D236" s="32"/>
      <c r="E236" s="32"/>
      <c r="F236" s="32"/>
      <c r="G236" s="40"/>
      <c r="H236" s="29"/>
      <c r="I236" s="32"/>
      <c r="J236" s="29"/>
      <c r="K236" s="42"/>
    </row>
    <row r="237" spans="2:11">
      <c r="B237" s="21"/>
      <c r="C237" s="32"/>
      <c r="D237" s="32"/>
      <c r="E237" s="32"/>
      <c r="F237" s="32"/>
      <c r="G237" s="40"/>
      <c r="H237" s="29"/>
      <c r="I237" s="32"/>
      <c r="J237" s="29"/>
      <c r="K237" s="42"/>
    </row>
    <row r="238" spans="2:11">
      <c r="B238" s="35" t="s">
        <v>38</v>
      </c>
      <c r="C238" s="36" t="s">
        <v>39</v>
      </c>
      <c r="D238" s="36" t="s">
        <v>13</v>
      </c>
      <c r="E238" s="36" t="s">
        <v>1128</v>
      </c>
      <c r="F238" s="36" t="s">
        <v>842</v>
      </c>
      <c r="G238" s="37" t="s">
        <v>11</v>
      </c>
      <c r="H238" s="37" t="s">
        <v>41</v>
      </c>
      <c r="I238" s="37" t="s">
        <v>42</v>
      </c>
      <c r="J238" s="37" t="s">
        <v>43</v>
      </c>
      <c r="K238" s="38" t="s">
        <v>44</v>
      </c>
    </row>
    <row r="239" spans="2:11">
      <c r="B239" s="47" t="s">
        <v>868</v>
      </c>
      <c r="C239" s="40" t="s">
        <v>74</v>
      </c>
      <c r="D239" s="43" t="s">
        <v>869</v>
      </c>
      <c r="E239" s="40" t="s">
        <v>396</v>
      </c>
      <c r="F239" s="40" t="s">
        <v>1108</v>
      </c>
      <c r="G239" s="40" t="str">
        <f xml:space="preserve"> IF(F239=$C$13,"Ok","Aucun planning détaillé n'est disponible.")</f>
        <v>Aucun planning détaillé n'est disponible.</v>
      </c>
      <c r="H239" s="29" t="str">
        <f xml:space="preserve"> IF(F239=$C$13,"Ok à maintenir","Mettre en place une planification avec suivi des jalons techniques.")</f>
        <v>Mettre en place une planification avec suivi des jalons techniques.</v>
      </c>
      <c r="I239" s="41" t="s">
        <v>296</v>
      </c>
      <c r="J239" s="29" t="str">
        <f xml:space="preserve"> IF(F239=$C$13,"-","30jours")</f>
        <v>30jours</v>
      </c>
      <c r="K239" s="42" t="str">
        <f xml:space="preserve"> IF(F239=$C$13,"-","Ouverte")</f>
        <v>Ouverte</v>
      </c>
    </row>
    <row r="240" spans="2:11" ht="30">
      <c r="B240" s="39" t="s">
        <v>155</v>
      </c>
      <c r="C240" s="40" t="s">
        <v>74</v>
      </c>
      <c r="D240" s="40" t="s">
        <v>397</v>
      </c>
      <c r="E240" s="40" t="s">
        <v>230</v>
      </c>
      <c r="F240" s="40" t="s">
        <v>1108</v>
      </c>
      <c r="G240" s="40" t="str">
        <f xml:space="preserve"> IF(F240=$C$13,"Ok","Les responsabilités de certaines tâches ne sont pas attribuées.")</f>
        <v>Les responsabilités de certaines tâches ne sont pas attribuées.</v>
      </c>
      <c r="H240" s="29" t="str">
        <f xml:space="preserve"> IF(F240=$C$13,"Ok à maintenir","Définir une matrice RACI intégrant également les responsabilités.")</f>
        <v>Définir une matrice RACI intégrant également les responsabilités.</v>
      </c>
      <c r="I240" s="41" t="s">
        <v>296</v>
      </c>
      <c r="J240" s="29" t="str">
        <f xml:space="preserve"> IF(F240=$C$13,"-","30jours")</f>
        <v>30jours</v>
      </c>
      <c r="K240" s="42" t="str">
        <f xml:space="preserve"> IF(F240=$C$13,"-","Ouverte")</f>
        <v>Ouverte</v>
      </c>
    </row>
    <row r="241" spans="2:11" ht="30">
      <c r="B241" s="39" t="s">
        <v>398</v>
      </c>
      <c r="C241" s="40" t="s">
        <v>74</v>
      </c>
      <c r="D241" s="40" t="s">
        <v>399</v>
      </c>
      <c r="E241" s="40" t="s">
        <v>400</v>
      </c>
      <c r="F241" s="40" t="s">
        <v>1108</v>
      </c>
      <c r="G241" s="40" t="str">
        <f xml:space="preserve"> IF(F241=$C$13,"Ok","Des pertes d'information sont observées entre disciplines.")</f>
        <v>Des pertes d'information sont observées entre disciplines.</v>
      </c>
      <c r="H241" s="29" t="str">
        <f xml:space="preserve"> IF(F241=$C$13,"Ok à maintenir","Déployer des outils collaboratifs favorisant le partage des connaissances et la coordination multidisciplinaire.")</f>
        <v>Déployer des outils collaboratifs favorisant le partage des connaissances et la coordination multidisciplinaire.</v>
      </c>
      <c r="I241" s="41" t="s">
        <v>296</v>
      </c>
      <c r="J241" s="29" t="str">
        <f xml:space="preserve"> IF(F241=$C$13,"-","30jours")</f>
        <v>30jours</v>
      </c>
      <c r="K241" s="42" t="str">
        <f xml:space="preserve"> IF(F241=$C$13,"-","Ouverte")</f>
        <v>Ouverte</v>
      </c>
    </row>
    <row r="242" spans="2:11" ht="22.5">
      <c r="B242" s="50" t="s">
        <v>864</v>
      </c>
      <c r="C242" s="32"/>
      <c r="D242" s="32"/>
      <c r="E242" s="32"/>
      <c r="F242" s="32"/>
      <c r="G242" s="40"/>
      <c r="H242" s="29"/>
      <c r="I242" s="32"/>
      <c r="J242" s="29"/>
      <c r="K242" s="42"/>
    </row>
    <row r="243" spans="2:11">
      <c r="B243" s="21"/>
      <c r="C243" s="32"/>
      <c r="D243" s="32"/>
      <c r="E243" s="32"/>
      <c r="F243" s="32"/>
      <c r="G243" s="40"/>
      <c r="H243" s="29"/>
      <c r="I243" s="32"/>
      <c r="J243" s="29"/>
      <c r="K243" s="42"/>
    </row>
    <row r="244" spans="2:11">
      <c r="B244" s="35" t="s">
        <v>38</v>
      </c>
      <c r="C244" s="36" t="s">
        <v>39</v>
      </c>
      <c r="D244" s="36" t="s">
        <v>13</v>
      </c>
      <c r="E244" s="36" t="s">
        <v>1128</v>
      </c>
      <c r="F244" s="36" t="s">
        <v>842</v>
      </c>
      <c r="G244" s="37" t="s">
        <v>11</v>
      </c>
      <c r="H244" s="37" t="s">
        <v>41</v>
      </c>
      <c r="I244" s="37" t="s">
        <v>42</v>
      </c>
      <c r="J244" s="37" t="s">
        <v>43</v>
      </c>
      <c r="K244" s="38" t="s">
        <v>44</v>
      </c>
    </row>
    <row r="245" spans="2:11" ht="30">
      <c r="B245" s="39" t="s">
        <v>401</v>
      </c>
      <c r="C245" s="43" t="s">
        <v>407</v>
      </c>
      <c r="D245" s="40" t="s">
        <v>402</v>
      </c>
      <c r="E245" s="40" t="s">
        <v>403</v>
      </c>
      <c r="F245" s="40" t="s">
        <v>1108</v>
      </c>
      <c r="G245" s="40" t="str">
        <f xml:space="preserve"> IF(F245=$C$13,"Ok","Certaines données d'entrée sont incomplètes ou non validées.")</f>
        <v>Certaines données d'entrée sont incomplètes ou non validées.</v>
      </c>
      <c r="H245" s="29" t="str">
        <f xml:space="preserve"> IF(F245=$C$13,"Ok à maintenir","Mettre en place une checklist numérique de validation des données d'entrée.")</f>
        <v>Mettre en place une checklist numérique de validation des données d'entrée.</v>
      </c>
      <c r="I245" s="41" t="s">
        <v>370</v>
      </c>
      <c r="J245" s="29" t="str">
        <f xml:space="preserve"> IF(F245=$C$13,"-","30jours")</f>
        <v>30jours</v>
      </c>
      <c r="K245" s="42" t="str">
        <f xml:space="preserve"> IF(F245=$C$13,"-","Ouverte")</f>
        <v>Ouverte</v>
      </c>
    </row>
    <row r="246" spans="2:11" ht="30">
      <c r="B246" s="39" t="s">
        <v>404</v>
      </c>
      <c r="C246" s="40" t="s">
        <v>79</v>
      </c>
      <c r="D246" s="40" t="s">
        <v>405</v>
      </c>
      <c r="E246" s="40" t="s">
        <v>406</v>
      </c>
      <c r="F246" s="40" t="s">
        <v>1108</v>
      </c>
      <c r="G246" s="40" t="str">
        <f xml:space="preserve"> IF(F246=$C$13,"Ok","Les normes utilisées ne sont pas systématiquement documentées.")</f>
        <v>Les normes utilisées ne sont pas systématiquement documentées.</v>
      </c>
      <c r="H246" s="29" t="str">
        <f xml:space="preserve"> IF(F246=$C$13,"Ok à maintenir","Déployer une base documentaire centralisée des normes et référentiels techniques.")</f>
        <v>Déployer une base documentaire centralisée des normes et référentiels techniques.</v>
      </c>
      <c r="I246" s="41" t="s">
        <v>82</v>
      </c>
      <c r="J246" s="29" t="str">
        <f xml:space="preserve"> IF(F246=$C$13,"-","30jours")</f>
        <v>30jours</v>
      </c>
      <c r="K246" s="42" t="str">
        <f xml:space="preserve"> IF(F246=$C$13,"-","Ouverte")</f>
        <v>Ouverte</v>
      </c>
    </row>
    <row r="247" spans="2:11" ht="30">
      <c r="B247" s="47" t="s">
        <v>870</v>
      </c>
      <c r="C247" s="40" t="s">
        <v>407</v>
      </c>
      <c r="D247" s="40" t="s">
        <v>408</v>
      </c>
      <c r="E247" s="40" t="s">
        <v>286</v>
      </c>
      <c r="F247" s="40" t="s">
        <v>1108</v>
      </c>
      <c r="G247" s="40" t="str">
        <f xml:space="preserve"> IF(F247=$C$13,"Ok","Les mêmes erreurs réapparaissent sur plusieurs projets.")</f>
        <v>Les mêmes erreurs réapparaissent sur plusieurs projets.</v>
      </c>
      <c r="H247" s="29" t="str">
        <f xml:space="preserve"> IF(F247=$C$13,"Ok à maintenir","Mettre en œuvre une base de retour d'expérience et de capitalisation des connaissances accessible à tous les personnes concernées.")</f>
        <v>Mettre en œuvre une base de retour d'expérience et de capitalisation des connaissances accessible à tous les personnes concernées.</v>
      </c>
      <c r="I247" s="41" t="s">
        <v>82</v>
      </c>
      <c r="J247" s="29" t="str">
        <f xml:space="preserve"> IF(F247=$C$13,"-","30jours")</f>
        <v>30jours</v>
      </c>
      <c r="K247" s="42" t="str">
        <f xml:space="preserve"> IF(F247=$C$13,"-","Ouverte")</f>
        <v>Ouverte</v>
      </c>
    </row>
    <row r="248" spans="2:11" ht="22.5">
      <c r="B248" s="50" t="s">
        <v>865</v>
      </c>
      <c r="C248" s="32"/>
      <c r="D248" s="32"/>
      <c r="E248" s="32"/>
      <c r="F248" s="32"/>
      <c r="G248" s="40"/>
      <c r="H248" s="29"/>
      <c r="I248" s="32"/>
      <c r="J248" s="29"/>
      <c r="K248" s="42"/>
    </row>
    <row r="249" spans="2:11">
      <c r="B249" s="21"/>
      <c r="C249" s="32"/>
      <c r="D249" s="32"/>
      <c r="E249" s="32"/>
      <c r="F249" s="32"/>
      <c r="G249" s="40"/>
      <c r="H249" s="29"/>
      <c r="I249" s="32"/>
      <c r="J249" s="29"/>
      <c r="K249" s="42"/>
    </row>
    <row r="250" spans="2:11">
      <c r="B250" s="35" t="s">
        <v>38</v>
      </c>
      <c r="C250" s="36" t="s">
        <v>39</v>
      </c>
      <c r="D250" s="36" t="s">
        <v>13</v>
      </c>
      <c r="E250" s="36" t="s">
        <v>1128</v>
      </c>
      <c r="F250" s="36" t="s">
        <v>842</v>
      </c>
      <c r="G250" s="37" t="s">
        <v>11</v>
      </c>
      <c r="H250" s="37" t="s">
        <v>41</v>
      </c>
      <c r="I250" s="37" t="s">
        <v>42</v>
      </c>
      <c r="J250" s="37" t="s">
        <v>43</v>
      </c>
      <c r="K250" s="38" t="s">
        <v>44</v>
      </c>
    </row>
    <row r="251" spans="2:11" ht="30">
      <c r="B251" s="47" t="s">
        <v>871</v>
      </c>
      <c r="C251" s="40" t="s">
        <v>74</v>
      </c>
      <c r="D251" s="40" t="s">
        <v>409</v>
      </c>
      <c r="E251" s="43" t="s">
        <v>872</v>
      </c>
      <c r="F251" s="40" t="s">
        <v>1108</v>
      </c>
      <c r="G251" s="40" t="str">
        <f xml:space="preserve"> IF(F251=$C$13,"Ok","Les revues ne sont pas documentées.")</f>
        <v>Les revues ne sont pas documentées.</v>
      </c>
      <c r="H251" s="29" t="str">
        <f xml:space="preserve"> IF(F251=$C$13,"Ok à maintenir","Instituer des revues périodiques.")</f>
        <v>Instituer des revues périodiques.</v>
      </c>
      <c r="I251" s="41" t="s">
        <v>296</v>
      </c>
      <c r="J251" s="29" t="str">
        <f xml:space="preserve"> IF(F251=$C$13,"-","30jours")</f>
        <v>30jours</v>
      </c>
      <c r="K251" s="42" t="str">
        <f xml:space="preserve"> IF(F251=$C$13,"-","Ouverte")</f>
        <v>Ouverte</v>
      </c>
    </row>
    <row r="252" spans="2:11">
      <c r="B252" s="39" t="s">
        <v>410</v>
      </c>
      <c r="C252" s="40" t="s">
        <v>74</v>
      </c>
      <c r="D252" s="43" t="s">
        <v>873</v>
      </c>
      <c r="E252" s="40" t="s">
        <v>411</v>
      </c>
      <c r="F252" s="40" t="s">
        <v>1108</v>
      </c>
      <c r="G252" s="40" t="str">
        <f xml:space="preserve"> IF(F252=$C$13,"Ok","Validation par leur auteur sans contrôle indépendant.")</f>
        <v>Validation par leur auteur sans contrôle indépendant.</v>
      </c>
      <c r="H252" s="29" t="str">
        <f xml:space="preserve"> IF(F252=$C$13,"Ok à maintenir","Mettre en place une vérification croisée systématique.")</f>
        <v>Mettre en place une vérification croisée systématique.</v>
      </c>
      <c r="I252" s="40" t="s">
        <v>74</v>
      </c>
      <c r="J252" s="29" t="str">
        <f xml:space="preserve"> IF(F252=$C$13,"-","30jours")</f>
        <v>30jours</v>
      </c>
      <c r="K252" s="42" t="str">
        <f xml:space="preserve"> IF(F252=$C$13,"-","Ouverte")</f>
        <v>Ouverte</v>
      </c>
    </row>
    <row r="253" spans="2:11">
      <c r="B253" s="39" t="s">
        <v>412</v>
      </c>
      <c r="C253" s="40" t="s">
        <v>413</v>
      </c>
      <c r="D253" s="40" t="s">
        <v>414</v>
      </c>
      <c r="E253" s="40" t="s">
        <v>415</v>
      </c>
      <c r="F253" s="40" t="s">
        <v>1108</v>
      </c>
      <c r="G253" s="40" t="str">
        <f xml:space="preserve"> IF(F253=$C$13,"Ok","Certains livrables sont transmis sans validation formelle.")</f>
        <v>Certains livrables sont transmis sans validation formelle.</v>
      </c>
      <c r="H253" s="29" t="str">
        <f xml:space="preserve"> IF(F253=$C$13,"Ok à maintenir","Déployer un workflowde validation avant émission des documents.")</f>
        <v>Déployer un workflowde validation avant émission des documents.</v>
      </c>
      <c r="I253" s="41" t="s">
        <v>82</v>
      </c>
      <c r="J253" s="29" t="str">
        <f xml:space="preserve"> IF(F253=$C$13,"-","30jours")</f>
        <v>30jours</v>
      </c>
      <c r="K253" s="42" t="str">
        <f xml:space="preserve"> IF(F253=$C$13,"-","Ouverte")</f>
        <v>Ouverte</v>
      </c>
    </row>
    <row r="254" spans="2:11" ht="22.5">
      <c r="B254" s="50" t="s">
        <v>866</v>
      </c>
      <c r="C254" s="32"/>
      <c r="D254" s="32"/>
      <c r="E254" s="32"/>
      <c r="F254" s="32"/>
      <c r="G254" s="40"/>
      <c r="H254" s="29"/>
      <c r="I254" s="32"/>
      <c r="J254" s="29"/>
      <c r="K254" s="42"/>
    </row>
    <row r="255" spans="2:11">
      <c r="B255" s="21"/>
      <c r="C255" s="32"/>
      <c r="D255" s="32"/>
      <c r="E255" s="32"/>
      <c r="F255" s="32"/>
      <c r="G255" s="40"/>
      <c r="H255" s="29"/>
      <c r="I255" s="32"/>
      <c r="J255" s="29"/>
      <c r="K255" s="42"/>
    </row>
    <row r="256" spans="2:11">
      <c r="B256" s="35" t="s">
        <v>38</v>
      </c>
      <c r="C256" s="36" t="s">
        <v>39</v>
      </c>
      <c r="D256" s="36" t="s">
        <v>13</v>
      </c>
      <c r="E256" s="36" t="s">
        <v>1128</v>
      </c>
      <c r="F256" s="36" t="s">
        <v>842</v>
      </c>
      <c r="G256" s="37" t="s">
        <v>11</v>
      </c>
      <c r="H256" s="37" t="s">
        <v>41</v>
      </c>
      <c r="I256" s="37" t="s">
        <v>42</v>
      </c>
      <c r="J256" s="37" t="s">
        <v>43</v>
      </c>
      <c r="K256" s="38" t="s">
        <v>44</v>
      </c>
    </row>
    <row r="257" spans="2:11" ht="45">
      <c r="B257" s="39" t="s">
        <v>416</v>
      </c>
      <c r="C257" s="40" t="s">
        <v>74</v>
      </c>
      <c r="D257" s="40" t="s">
        <v>417</v>
      </c>
      <c r="E257" s="40" t="s">
        <v>418</v>
      </c>
      <c r="F257" s="40" t="s">
        <v>1108</v>
      </c>
      <c r="G257" s="40" t="str">
        <f xml:space="preserve"> IF(F257=$C$13,"Ok","Plusieurs livrables présentent des informations incomplètes ou ne répondent pas totalement aux exigences contractuelles.")</f>
        <v>Plusieurs livrables présentent des informations incomplètes ou ne répondent pas totalement aux exigences contractuelles.</v>
      </c>
      <c r="H257" s="29" t="str">
        <f xml:space="preserve"> IF(F257=$C$13,"Ok à maintenir","Mettre en place une revue des livrables basée sur des check-lists  et des critères de performance client.")</f>
        <v>Mettre en place une revue des livrables basée sur des check-lists  et des critères de performance client.</v>
      </c>
      <c r="I257" s="51" t="s">
        <v>296</v>
      </c>
      <c r="J257" s="29" t="str">
        <f xml:space="preserve"> IF(F257=$C$13,"-","30jours")</f>
        <v>30jours</v>
      </c>
      <c r="K257" s="42" t="str">
        <f xml:space="preserve"> IF(F257=$C$13,"-","Ouverte")</f>
        <v>Ouverte</v>
      </c>
    </row>
    <row r="258" spans="2:11" ht="30">
      <c r="B258" s="47" t="s">
        <v>419</v>
      </c>
      <c r="C258" s="40" t="s">
        <v>79</v>
      </c>
      <c r="D258" s="40" t="s">
        <v>420</v>
      </c>
      <c r="E258" s="40" t="s">
        <v>421</v>
      </c>
      <c r="F258" s="40" t="s">
        <v>1108</v>
      </c>
      <c r="G258" s="40" t="str">
        <f xml:space="preserve"> IF(F258=$C$13,"Ok","Les livrables sont parfois transmis sans contrôle préalable documenté.")</f>
        <v>Les livrables sont parfois transmis sans contrôle préalable documenté.</v>
      </c>
      <c r="H258" s="29" t="str">
        <f xml:space="preserve"> IF(F258=$C$13,"Ok à maintenir","Déployer un workflow d'approbation intégrant validation avant émission.")</f>
        <v>Déployer un workflow d'approbation intégrant validation avant émission.</v>
      </c>
      <c r="I258" s="51" t="s">
        <v>82</v>
      </c>
      <c r="J258" s="29" t="str">
        <f xml:space="preserve"> IF(F258=$C$13,"-","30jours")</f>
        <v>30jours</v>
      </c>
      <c r="K258" s="42" t="str">
        <f xml:space="preserve"> IF(F258=$C$13,"-","Ouverte")</f>
        <v>Ouverte</v>
      </c>
    </row>
    <row r="259" spans="2:11" ht="30">
      <c r="B259" s="39" t="s">
        <v>422</v>
      </c>
      <c r="C259" s="40" t="s">
        <v>407</v>
      </c>
      <c r="D259" s="40" t="s">
        <v>423</v>
      </c>
      <c r="E259" s="40" t="s">
        <v>424</v>
      </c>
      <c r="F259" s="40" t="s">
        <v>1108</v>
      </c>
      <c r="G259" s="40" t="str">
        <f xml:space="preserve"> IF(F259=$C$13,"Ok","Certains plans et documents transmis sont difficilement exploitables par les utilisateurs finaux.")</f>
        <v>Certains plans et documents transmis sont difficilement exploitables par les utilisateurs finaux.</v>
      </c>
      <c r="H259" s="29" t="str">
        <f xml:space="preserve"> IF(F259=$C$13,"Ok à maintenir","Standardiser les formats de livrables et intégrer les retours utilisateurs afin d'améliorer leur exploitabilité et leur valeur ajoutée.")</f>
        <v>Standardiser les formats de livrables et intégrer les retours utilisateurs afin d'améliorer leur exploitabilité et leur valeur ajoutée.</v>
      </c>
      <c r="I259" s="51" t="s">
        <v>370</v>
      </c>
      <c r="J259" s="29" t="str">
        <f xml:space="preserve"> IF(F259=$C$13,"-","30jours")</f>
        <v>30jours</v>
      </c>
      <c r="K259" s="42" t="str">
        <f xml:space="preserve"> IF(F259=$C$13,"-","Ouverte")</f>
        <v>Ouverte</v>
      </c>
    </row>
    <row r="260" spans="2:11" ht="22.5">
      <c r="B260" s="50" t="s">
        <v>867</v>
      </c>
      <c r="C260" s="32"/>
      <c r="D260" s="32"/>
      <c r="E260" s="32"/>
      <c r="F260" s="32"/>
      <c r="G260" s="40"/>
      <c r="H260" s="29"/>
      <c r="I260" s="32"/>
      <c r="J260" s="29"/>
      <c r="K260" s="42"/>
    </row>
    <row r="261" spans="2:11">
      <c r="B261" s="21"/>
      <c r="C261" s="32"/>
      <c r="D261" s="32"/>
      <c r="E261" s="32"/>
      <c r="F261" s="32"/>
      <c r="G261" s="40"/>
      <c r="H261" s="29"/>
      <c r="I261" s="32"/>
      <c r="J261" s="29"/>
      <c r="K261" s="42"/>
    </row>
    <row r="262" spans="2:11">
      <c r="B262" s="35" t="s">
        <v>38</v>
      </c>
      <c r="C262" s="36" t="s">
        <v>39</v>
      </c>
      <c r="D262" s="36" t="s">
        <v>13</v>
      </c>
      <c r="E262" s="36" t="s">
        <v>1128</v>
      </c>
      <c r="F262" s="36" t="s">
        <v>842</v>
      </c>
      <c r="G262" s="37" t="s">
        <v>11</v>
      </c>
      <c r="H262" s="37" t="s">
        <v>41</v>
      </c>
      <c r="I262" s="37" t="s">
        <v>42</v>
      </c>
      <c r="J262" s="37" t="s">
        <v>43</v>
      </c>
      <c r="K262" s="38" t="s">
        <v>44</v>
      </c>
    </row>
    <row r="263" spans="2:11" ht="30">
      <c r="B263" s="39" t="s">
        <v>425</v>
      </c>
      <c r="C263" s="40" t="s">
        <v>74</v>
      </c>
      <c r="D263" s="40" t="s">
        <v>426</v>
      </c>
      <c r="E263" s="40" t="s">
        <v>427</v>
      </c>
      <c r="F263" s="40" t="s">
        <v>1108</v>
      </c>
      <c r="G263" s="40" t="str">
        <f xml:space="preserve"> IF(F263=$C$13,"Ok","Certaines modifications réalisées ne sont pas enregistrées ni historisées.")</f>
        <v>Certaines modifications réalisées ne sont pas enregistrées ni historisées.</v>
      </c>
      <c r="H263" s="29" t="str">
        <f xml:space="preserve"> IF(F263=$C$13,"Ok à maintenir","Déployer un système de gestion des changements assurant la traçabilité complète des évolutions des livrables.")</f>
        <v>Déployer un système de gestion des changements assurant la traçabilité complète des évolutions des livrables.</v>
      </c>
      <c r="I263" s="51" t="s">
        <v>296</v>
      </c>
      <c r="J263" s="29" t="str">
        <f xml:space="preserve"> IF(F263=$C$13,"-","30jours")</f>
        <v>30jours</v>
      </c>
      <c r="K263" s="42" t="str">
        <f xml:space="preserve"> IF(F263=$C$13,"-","Ouverte")</f>
        <v>Ouverte</v>
      </c>
    </row>
    <row r="264" spans="2:11" ht="30">
      <c r="B264" s="39" t="s">
        <v>428</v>
      </c>
      <c r="C264" s="40" t="s">
        <v>79</v>
      </c>
      <c r="D264" s="43" t="s">
        <v>557</v>
      </c>
      <c r="E264" s="40" t="s">
        <v>429</v>
      </c>
      <c r="F264" s="40" t="s">
        <v>1108</v>
      </c>
      <c r="G264" s="40" t="str">
        <f xml:space="preserve"> IF(F264=$C$13,"Ok","Les conséquences techniques et organisationnelles des modifications ne sont pas systématiquement évaluées.")</f>
        <v>Les conséquences techniques et organisationnelles des modifications ne sont pas systématiquement évaluées.</v>
      </c>
      <c r="H264" s="29" t="str">
        <f xml:space="preserve"> IF(F264=$C$13,"Ok à maintenir","Mettre en œuvre une analyse d'impact intégrant les risques, opportunités et effets sur la valeur créée pour le client.")</f>
        <v>Mettre en œuvre une analyse d'impact intégrant les risques, opportunités et effets sur la valeur créée pour le client.</v>
      </c>
      <c r="I264" s="51" t="s">
        <v>82</v>
      </c>
      <c r="J264" s="29" t="str">
        <f xml:space="preserve"> IF(F264=$C$13,"-","30jours")</f>
        <v>30jours</v>
      </c>
      <c r="K264" s="42" t="str">
        <f xml:space="preserve"> IF(F264=$C$13,"-","Ouverte")</f>
        <v>Ouverte</v>
      </c>
    </row>
    <row r="265" spans="2:11" ht="30">
      <c r="B265" s="178" t="s">
        <v>430</v>
      </c>
      <c r="C265" s="167" t="s">
        <v>328</v>
      </c>
      <c r="D265" s="167" t="s">
        <v>431</v>
      </c>
      <c r="E265" s="93" t="s">
        <v>874</v>
      </c>
      <c r="F265" s="167" t="s">
        <v>1108</v>
      </c>
      <c r="G265" s="167" t="str">
        <f xml:space="preserve"> IF(F265=$C$13,"Ok","Des versions obsolètes sont encore utilisées sur certains projets.")</f>
        <v>Des versions obsolètes sont encore utilisées sur certains projets.</v>
      </c>
      <c r="H265" s="168" t="str">
        <f xml:space="preserve"> IF(F265=$C$13,"Ok à maintenir","Mettre en place une plateforme documentaire collaborative avec gestion des versions et diffusion contrôlée.")</f>
        <v>Mettre en place une plateforme documentaire collaborative avec gestion des versions et diffusion contrôlée.</v>
      </c>
      <c r="I265" s="180" t="s">
        <v>53</v>
      </c>
      <c r="J265" s="168" t="str">
        <f xml:space="preserve"> IF(F265=$C$13,"-","30jours")</f>
        <v>30jours</v>
      </c>
      <c r="K265" s="174" t="str">
        <f xml:space="preserve"> IF(F265=$C$13,"-","Ouverte")</f>
        <v>Ouverte</v>
      </c>
    </row>
    <row r="266" spans="2:11" ht="27">
      <c r="B266" s="175" t="s">
        <v>432</v>
      </c>
      <c r="C266" s="165"/>
      <c r="D266" s="165"/>
      <c r="E266" s="165"/>
      <c r="F266" s="165"/>
      <c r="G266" s="169"/>
      <c r="H266" s="170"/>
      <c r="I266" s="165"/>
      <c r="J266" s="170"/>
      <c r="K266" s="176"/>
    </row>
    <row r="267" spans="2:11">
      <c r="B267" s="21"/>
      <c r="C267" s="32"/>
      <c r="D267" s="32"/>
      <c r="E267" s="32"/>
      <c r="F267" s="32"/>
      <c r="G267" s="40"/>
      <c r="H267" s="29"/>
      <c r="I267" s="32"/>
      <c r="J267" s="29"/>
      <c r="K267" s="42"/>
    </row>
    <row r="268" spans="2:11">
      <c r="B268" s="35" t="s">
        <v>38</v>
      </c>
      <c r="C268" s="36" t="s">
        <v>39</v>
      </c>
      <c r="D268" s="36" t="s">
        <v>13</v>
      </c>
      <c r="E268" s="36" t="s">
        <v>1128</v>
      </c>
      <c r="F268" s="36" t="s">
        <v>842</v>
      </c>
      <c r="G268" s="37" t="s">
        <v>11</v>
      </c>
      <c r="H268" s="37" t="s">
        <v>41</v>
      </c>
      <c r="I268" s="37" t="s">
        <v>42</v>
      </c>
      <c r="J268" s="37" t="s">
        <v>43</v>
      </c>
      <c r="K268" s="38" t="s">
        <v>44</v>
      </c>
    </row>
    <row r="269" spans="2:11" ht="30">
      <c r="B269" s="39" t="s">
        <v>433</v>
      </c>
      <c r="C269" s="40" t="s">
        <v>84</v>
      </c>
      <c r="D269" s="40" t="s">
        <v>434</v>
      </c>
      <c r="E269" s="40" t="s">
        <v>435</v>
      </c>
      <c r="F269" s="40" t="s">
        <v>1108</v>
      </c>
      <c r="G269" s="40" t="str">
        <f xml:space="preserve"> IF(F269=$C$13,"Ok","Aucun système formel d'évaluation des fournisseurs n'est en place.")</f>
        <v>Aucun système formel d'évaluation des fournisseurs n'est en place.</v>
      </c>
      <c r="H269" s="29" t="str">
        <f xml:space="preserve"> IF(F269=$C$13,"Ok à maintenir","Mettre en place une évaluation multicritère incluant qualité, délai, innovation, digitalisation et capacité d'amélioration continue etc")</f>
        <v>Mettre en place une évaluation multicritère incluant qualité, délai, innovation, digitalisation et capacité d'amélioration continue etc</v>
      </c>
      <c r="I269" s="51" t="s">
        <v>84</v>
      </c>
      <c r="J269" s="29" t="str">
        <f xml:space="preserve"> IF(F269=$C$13,"-","30jours")</f>
        <v>30jours</v>
      </c>
      <c r="K269" s="42" t="str">
        <f xml:space="preserve"> IF(F269=$C$13,"-","Ouverte")</f>
        <v>Ouverte</v>
      </c>
    </row>
    <row r="270" spans="2:11" ht="30">
      <c r="B270" s="39" t="s">
        <v>436</v>
      </c>
      <c r="C270" s="40" t="s">
        <v>84</v>
      </c>
      <c r="D270" s="40" t="s">
        <v>437</v>
      </c>
      <c r="E270" s="40" t="s">
        <v>438</v>
      </c>
      <c r="F270" s="40" t="s">
        <v>1108</v>
      </c>
      <c r="G270" s="40" t="str">
        <f xml:space="preserve"> IF(F270=$C$13,"Ok","Les fournisseurs sont sélectionnés principalement sur le critère prix.")</f>
        <v>Les fournisseurs sont sélectionnés principalement sur le critère prix.</v>
      </c>
      <c r="H270" s="29" t="str">
        <f xml:space="preserve"> IF(F270=$C$13,"Ok à maintenir","Développer une grille d'évaluation intégrant performance technique, innovation, expertise et maîtrise des risques.")</f>
        <v>Développer une grille d'évaluation intégrant performance technique, innovation, expertise et maîtrise des risques.</v>
      </c>
      <c r="I270" s="51" t="s">
        <v>84</v>
      </c>
      <c r="J270" s="29" t="str">
        <f xml:space="preserve"> IF(F270=$C$13,"-","30jours")</f>
        <v>30jours</v>
      </c>
      <c r="K270" s="42" t="str">
        <f xml:space="preserve"> IF(F270=$C$13,"-","Ouverte")</f>
        <v>Ouverte</v>
      </c>
    </row>
    <row r="271" spans="2:11" ht="30">
      <c r="B271" s="39" t="s">
        <v>439</v>
      </c>
      <c r="C271" s="40" t="s">
        <v>74</v>
      </c>
      <c r="D271" s="40" t="s">
        <v>440</v>
      </c>
      <c r="E271" s="40" t="s">
        <v>441</v>
      </c>
      <c r="F271" s="40" t="s">
        <v>1108</v>
      </c>
      <c r="G271" s="40" t="str">
        <f xml:space="preserve"> IF(F271=$C$13,"Ok","Les résultats des sous-traitants sont utilisés sans vérification systématique.")</f>
        <v>Les résultats des sous-traitants sont utilisés sans vérification systématique.</v>
      </c>
      <c r="H271" s="29" t="str">
        <f xml:space="preserve"> IF(F271=$C$13,"Ok à maintenir","Définir un processus de validation des prestations externes et d'intégration des connaissances acquises dans l'organisation.")</f>
        <v>Définir un processus de validation des prestations externes et d'intégration des connaissances acquises dans l'organisation.</v>
      </c>
      <c r="I271" s="51" t="s">
        <v>296</v>
      </c>
      <c r="J271" s="29" t="str">
        <f xml:space="preserve"> IF(F271=$C$13,"-","30jours")</f>
        <v>30jours</v>
      </c>
      <c r="K271" s="42" t="str">
        <f xml:space="preserve"> IF(F271=$C$13,"-","Ouverte")</f>
        <v>Ouverte</v>
      </c>
    </row>
    <row r="272" spans="2:11" ht="30">
      <c r="B272" s="178" t="s">
        <v>442</v>
      </c>
      <c r="C272" s="167" t="s">
        <v>84</v>
      </c>
      <c r="D272" s="167" t="s">
        <v>443</v>
      </c>
      <c r="E272" s="167" t="s">
        <v>444</v>
      </c>
      <c r="F272" s="167" t="s">
        <v>1108</v>
      </c>
      <c r="G272" s="167" t="str">
        <f xml:space="preserve"> IF(F272=$C$13,"Ok","Les commandes et cahiers des charges transmis sont incomplets ou imprécis.")</f>
        <v>Les commandes et cahiers des charges transmis sont incomplets ou imprécis.</v>
      </c>
      <c r="H272" s="168" t="str">
        <f xml:space="preserve"> IF(F272=$C$13,"Ok à maintenir","Standardiser les cahiers des charges fournisseurs incluant les exigences qualité, techniques et d'innovation.")</f>
        <v>Standardiser les cahiers des charges fournisseurs incluant les exigences qualité, techniques et d'innovation.</v>
      </c>
      <c r="I272" s="180" t="s">
        <v>84</v>
      </c>
      <c r="J272" s="168" t="str">
        <f xml:space="preserve"> IF(F272=$C$13,"-","30jours")</f>
        <v>30jours</v>
      </c>
      <c r="K272" s="174" t="str">
        <f xml:space="preserve"> IF(F272=$C$13,"-","Ouverte")</f>
        <v>Ouverte</v>
      </c>
    </row>
    <row r="273" spans="2:11" ht="27">
      <c r="B273" s="175" t="s">
        <v>1130</v>
      </c>
      <c r="C273" s="165"/>
      <c r="D273" s="165"/>
      <c r="E273" s="165"/>
      <c r="F273" s="165"/>
      <c r="G273" s="169"/>
      <c r="H273" s="170"/>
      <c r="I273" s="165"/>
      <c r="J273" s="170"/>
      <c r="K273" s="176"/>
    </row>
    <row r="274" spans="2:11">
      <c r="B274" s="21"/>
      <c r="C274" s="32"/>
      <c r="D274" s="32"/>
      <c r="E274" s="32"/>
      <c r="F274" s="32"/>
      <c r="G274" s="40"/>
      <c r="H274" s="29"/>
      <c r="I274" s="32"/>
      <c r="J274" s="29"/>
      <c r="K274" s="42"/>
    </row>
    <row r="275" spans="2:11" ht="22.5">
      <c r="B275" s="33" t="s">
        <v>445</v>
      </c>
      <c r="C275" s="32"/>
      <c r="D275" s="32"/>
      <c r="E275" s="32"/>
      <c r="F275" s="32"/>
      <c r="G275" s="40"/>
      <c r="H275" s="29"/>
      <c r="I275" s="32"/>
      <c r="J275" s="29"/>
      <c r="K275" s="42"/>
    </row>
    <row r="276" spans="2:11">
      <c r="B276" s="21"/>
      <c r="C276" s="32"/>
      <c r="D276" s="32"/>
      <c r="E276" s="32"/>
      <c r="F276" s="32"/>
      <c r="G276" s="40"/>
      <c r="H276" s="29"/>
      <c r="I276" s="32"/>
      <c r="J276" s="29"/>
      <c r="K276" s="42"/>
    </row>
    <row r="277" spans="2:11">
      <c r="B277" s="35" t="s">
        <v>38</v>
      </c>
      <c r="C277" s="36" t="s">
        <v>39</v>
      </c>
      <c r="D277" s="36" t="s">
        <v>13</v>
      </c>
      <c r="E277" s="36" t="s">
        <v>1128</v>
      </c>
      <c r="F277" s="36" t="s">
        <v>842</v>
      </c>
      <c r="G277" s="37" t="s">
        <v>11</v>
      </c>
      <c r="H277" s="37" t="s">
        <v>41</v>
      </c>
      <c r="I277" s="37" t="s">
        <v>42</v>
      </c>
      <c r="J277" s="37" t="s">
        <v>43</v>
      </c>
      <c r="K277" s="38" t="s">
        <v>44</v>
      </c>
    </row>
    <row r="278" spans="2:11" ht="30">
      <c r="B278" s="39" t="s">
        <v>446</v>
      </c>
      <c r="C278" s="40" t="s">
        <v>79</v>
      </c>
      <c r="D278" s="40" t="s">
        <v>447</v>
      </c>
      <c r="E278" s="40" t="s">
        <v>448</v>
      </c>
      <c r="F278" s="40" t="s">
        <v>1108</v>
      </c>
      <c r="G278" s="40" t="str">
        <f xml:space="preserve"> IF(F278=$C$13,"Ok","Les collaborateurs appliquent des méthodes différentes selon leurs habitudes personnelles.")</f>
        <v>Les collaborateurs appliquent des méthodes différentes selon leurs habitudes personnelles.</v>
      </c>
      <c r="H278" s="29" t="str">
        <f xml:space="preserve"> IF(F278=$C$13,"Ok à maintenir","Formaliser les méthodes de travail et intégrer les meilleures pratiques techniques et innovantes dans des guides partagés.")</f>
        <v>Formaliser les méthodes de travail et intégrer les meilleures pratiques techniques et innovantes dans des guides partagés.</v>
      </c>
      <c r="I278" s="51" t="s">
        <v>82</v>
      </c>
      <c r="J278" s="29" t="str">
        <f xml:space="preserve"> IF(F278=$C$13,"-","30jours")</f>
        <v>30jours</v>
      </c>
      <c r="K278" s="42" t="str">
        <f xml:space="preserve"> IF(F278=$C$13,"-","Ouverte")</f>
        <v>Ouverte</v>
      </c>
    </row>
    <row r="279" spans="2:11" ht="30">
      <c r="B279" s="39" t="s">
        <v>449</v>
      </c>
      <c r="C279" s="40" t="s">
        <v>407</v>
      </c>
      <c r="D279" s="40" t="s">
        <v>450</v>
      </c>
      <c r="E279" s="40" t="s">
        <v>451</v>
      </c>
      <c r="F279" s="40" t="s">
        <v>1108</v>
      </c>
      <c r="G279" s="40" t="str">
        <f xml:space="preserve"> IF(F279=$C$13,"Ok","Des documents obsolètes sont utilisés.")</f>
        <v>Des documents obsolètes sont utilisés.</v>
      </c>
      <c r="H279" s="29" t="str">
        <f xml:space="preserve"> IF(F279=$C$13,"Ok à maintenir","Mettre en place une gestion documentaire assurant l'accès immédiat aux documents à jour.")</f>
        <v>Mettre en place une gestion documentaire assurant l'accès immédiat aux documents à jour.</v>
      </c>
      <c r="I279" s="51" t="s">
        <v>53</v>
      </c>
      <c r="J279" s="29" t="str">
        <f xml:space="preserve"> IF(F279=$C$13,"-","30jours")</f>
        <v>30jours</v>
      </c>
      <c r="K279" s="42" t="str">
        <f xml:space="preserve"> IF(F279=$C$13,"-","Ouverte")</f>
        <v>Ouverte</v>
      </c>
    </row>
    <row r="280" spans="2:11" ht="22.5">
      <c r="B280" s="33" t="s">
        <v>452</v>
      </c>
      <c r="C280" s="32"/>
      <c r="D280" s="32"/>
      <c r="E280" s="32"/>
      <c r="F280" s="32"/>
      <c r="G280" s="40"/>
      <c r="H280" s="29"/>
      <c r="I280" s="32"/>
      <c r="J280" s="29"/>
      <c r="K280" s="42"/>
    </row>
    <row r="281" spans="2:11">
      <c r="B281" s="21"/>
      <c r="C281" s="32"/>
      <c r="D281" s="32"/>
      <c r="E281" s="32"/>
      <c r="F281" s="32"/>
      <c r="G281" s="40"/>
      <c r="H281" s="29"/>
      <c r="I281" s="32"/>
      <c r="J281" s="29"/>
      <c r="K281" s="42"/>
    </row>
    <row r="282" spans="2:11">
      <c r="B282" s="35" t="s">
        <v>38</v>
      </c>
      <c r="C282" s="36" t="s">
        <v>39</v>
      </c>
      <c r="D282" s="36" t="s">
        <v>13</v>
      </c>
      <c r="E282" s="36" t="s">
        <v>1128</v>
      </c>
      <c r="F282" s="36" t="s">
        <v>842</v>
      </c>
      <c r="G282" s="37" t="s">
        <v>11</v>
      </c>
      <c r="H282" s="37" t="s">
        <v>41</v>
      </c>
      <c r="I282" s="37" t="s">
        <v>42</v>
      </c>
      <c r="J282" s="37" t="s">
        <v>43</v>
      </c>
      <c r="K282" s="38" t="s">
        <v>44</v>
      </c>
    </row>
    <row r="283" spans="2:11" ht="30">
      <c r="B283" s="47" t="s">
        <v>875</v>
      </c>
      <c r="C283" s="40" t="s">
        <v>74</v>
      </c>
      <c r="D283" s="40" t="s">
        <v>453</v>
      </c>
      <c r="E283" s="40" t="s">
        <v>454</v>
      </c>
      <c r="F283" s="40" t="s">
        <v>1108</v>
      </c>
      <c r="G283" s="40" t="str">
        <f xml:space="preserve"> IF(F283=$C$13,"Ok","Certains documents ne permettent pas d'identifier clairement le projet concerné.")</f>
        <v>Certains documents ne permettent pas d'identifier clairement le projet concerné.</v>
      </c>
      <c r="H283" s="29" t="str">
        <f xml:space="preserve"> IF(F283=$C$13,"Ok à maintenir","Déployer un système unique d'identification des projets et livrables.")</f>
        <v>Déployer un système unique d'identification des projets et livrables.</v>
      </c>
      <c r="I283" s="51" t="s">
        <v>296</v>
      </c>
      <c r="J283" s="29" t="str">
        <f xml:space="preserve"> IF(F283=$C$13,"-","30jours")</f>
        <v>30jours</v>
      </c>
      <c r="K283" s="42" t="str">
        <f xml:space="preserve"> IF(F283=$C$13,"-","Ouverte")</f>
        <v>Ouverte</v>
      </c>
    </row>
    <row r="284" spans="2:11" ht="30">
      <c r="B284" s="39" t="s">
        <v>455</v>
      </c>
      <c r="C284" s="40" t="s">
        <v>328</v>
      </c>
      <c r="D284" s="40" t="s">
        <v>456</v>
      </c>
      <c r="E284" s="40" t="s">
        <v>457</v>
      </c>
      <c r="F284" s="40" t="s">
        <v>1108</v>
      </c>
      <c r="G284" s="40" t="str">
        <f xml:space="preserve"> IF(F284=$C$13,"Ok","L'historique des modifications n'est pas toujours disponible.")</f>
        <v>L'historique des modifications n'est pas toujours disponible.</v>
      </c>
      <c r="H284" s="29" t="str">
        <f xml:space="preserve"> IF(F284=$C$13,"Ok à maintenir","Mettre en œuvre une gestion électronique des documents avec historisation automatique des versions.")</f>
        <v>Mettre en œuvre une gestion électronique des documents avec historisation automatique des versions.</v>
      </c>
      <c r="I284" s="51" t="s">
        <v>53</v>
      </c>
      <c r="J284" s="29" t="str">
        <f xml:space="preserve"> IF(F284=$C$13,"-","30jours")</f>
        <v>30jours</v>
      </c>
      <c r="K284" s="42" t="str">
        <f xml:space="preserve"> IF(F284=$C$13,"-","Ouverte")</f>
        <v>Ouverte</v>
      </c>
    </row>
    <row r="285" spans="2:11" ht="22.5">
      <c r="B285" s="33" t="s">
        <v>458</v>
      </c>
      <c r="C285" s="32"/>
      <c r="D285" s="32"/>
      <c r="E285" s="32"/>
      <c r="F285" s="32"/>
      <c r="G285" s="40"/>
      <c r="H285" s="29"/>
      <c r="I285" s="32"/>
      <c r="J285" s="29"/>
      <c r="K285" s="42"/>
    </row>
    <row r="286" spans="2:11">
      <c r="B286" s="21"/>
      <c r="C286" s="32"/>
      <c r="D286" s="32"/>
      <c r="E286" s="32"/>
      <c r="F286" s="32"/>
      <c r="G286" s="40"/>
      <c r="H286" s="29"/>
      <c r="I286" s="32"/>
      <c r="J286" s="29"/>
      <c r="K286" s="42"/>
    </row>
    <row r="287" spans="2:11">
      <c r="B287" s="35" t="s">
        <v>38</v>
      </c>
      <c r="C287" s="36" t="s">
        <v>39</v>
      </c>
      <c r="D287" s="36" t="s">
        <v>13</v>
      </c>
      <c r="E287" s="36" t="s">
        <v>1128</v>
      </c>
      <c r="F287" s="36" t="s">
        <v>842</v>
      </c>
      <c r="G287" s="37" t="s">
        <v>11</v>
      </c>
      <c r="H287" s="37" t="s">
        <v>41</v>
      </c>
      <c r="I287" s="37" t="s">
        <v>42</v>
      </c>
      <c r="J287" s="37" t="s">
        <v>43</v>
      </c>
      <c r="K287" s="38" t="s">
        <v>44</v>
      </c>
    </row>
    <row r="288" spans="2:11" ht="30">
      <c r="B288" s="39" t="s">
        <v>459</v>
      </c>
      <c r="C288" s="40" t="s">
        <v>460</v>
      </c>
      <c r="D288" s="40" t="s">
        <v>461</v>
      </c>
      <c r="E288" s="40" t="s">
        <v>462</v>
      </c>
      <c r="F288" s="40" t="s">
        <v>1108</v>
      </c>
      <c r="G288" s="40" t="str">
        <f xml:space="preserve"> IF(F288=$C$13,"Ok","Les accès aux données sensibles ne sont pas contrôlés.")</f>
        <v>Les accès aux données sensibles ne sont pas contrôlés.</v>
      </c>
      <c r="H288" s="29" t="str">
        <f xml:space="preserve"> IF(F288=$C$13,"Ok à maintenir","Déployer une politique de cybersécurité intégrant gestion des accès, classification des données et protection des actifs informationnels.")</f>
        <v>Déployer une politique de cybersécurité intégrant gestion des accès, classification des données et protection des actifs informationnels.</v>
      </c>
      <c r="I288" s="51" t="s">
        <v>460</v>
      </c>
      <c r="J288" s="29" t="str">
        <f xml:space="preserve"> IF(F288=$C$13,"-","30jours")</f>
        <v>30jours</v>
      </c>
      <c r="K288" s="42" t="str">
        <f xml:space="preserve"> IF(F288=$C$13,"-","Ouverte")</f>
        <v>Ouverte</v>
      </c>
    </row>
    <row r="289" spans="2:11" ht="30">
      <c r="B289" s="39" t="s">
        <v>463</v>
      </c>
      <c r="C289" s="40" t="s">
        <v>74</v>
      </c>
      <c r="D289" s="40" t="s">
        <v>464</v>
      </c>
      <c r="E289" s="40" t="s">
        <v>465</v>
      </c>
      <c r="F289" s="40" t="s">
        <v>1108</v>
      </c>
      <c r="G289" s="40" t="str">
        <f xml:space="preserve"> IF(F289=$C$13,"Ok","Certains documents transmis par les clients sont égarés ou difficilement retrouvables.")</f>
        <v>Certains documents transmis par les clients sont égarés ou difficilement retrouvables.</v>
      </c>
      <c r="H289" s="29" t="str">
        <f xml:space="preserve"> IF(F289=$C$13,"Ok à maintenir","Mettre en place une plateforme centralisée de gestion documentaire assurant la traçabilité et la conservation des données clients.")</f>
        <v>Mettre en place une plateforme centralisée de gestion documentaire assurant la traçabilité et la conservation des données clients.</v>
      </c>
      <c r="I289" s="51" t="s">
        <v>296</v>
      </c>
      <c r="J289" s="29" t="str">
        <f xml:space="preserve"> IF(F289=$C$13,"-","30jours")</f>
        <v>30jours</v>
      </c>
      <c r="K289" s="42" t="str">
        <f xml:space="preserve"> IF(F289=$C$13,"-","Ouverte")</f>
        <v>Ouverte</v>
      </c>
    </row>
    <row r="290" spans="2:11" ht="22.5">
      <c r="B290" s="33" t="s">
        <v>466</v>
      </c>
      <c r="C290" s="32"/>
      <c r="D290" s="32"/>
      <c r="E290" s="32"/>
      <c r="F290" s="32"/>
      <c r="G290" s="40"/>
      <c r="H290" s="29"/>
      <c r="I290" s="32"/>
      <c r="J290" s="29"/>
      <c r="K290" s="42"/>
    </row>
    <row r="291" spans="2:11">
      <c r="B291" s="21"/>
      <c r="C291" s="32"/>
      <c r="D291" s="32"/>
      <c r="E291" s="32"/>
      <c r="F291" s="32"/>
      <c r="G291" s="40"/>
      <c r="H291" s="29"/>
      <c r="I291" s="32"/>
      <c r="J291" s="29"/>
      <c r="K291" s="42"/>
    </row>
    <row r="292" spans="2:11">
      <c r="B292" s="35" t="s">
        <v>38</v>
      </c>
      <c r="C292" s="36" t="s">
        <v>39</v>
      </c>
      <c r="D292" s="36" t="s">
        <v>13</v>
      </c>
      <c r="E292" s="36" t="s">
        <v>1128</v>
      </c>
      <c r="F292" s="36" t="s">
        <v>842</v>
      </c>
      <c r="G292" s="37" t="s">
        <v>11</v>
      </c>
      <c r="H292" s="37" t="s">
        <v>41</v>
      </c>
      <c r="I292" s="37" t="s">
        <v>42</v>
      </c>
      <c r="J292" s="37" t="s">
        <v>43</v>
      </c>
      <c r="K292" s="38" t="s">
        <v>44</v>
      </c>
    </row>
    <row r="293" spans="2:11" ht="30">
      <c r="B293" s="39" t="s">
        <v>467</v>
      </c>
      <c r="C293" s="40" t="s">
        <v>74</v>
      </c>
      <c r="D293" s="40" t="s">
        <v>468</v>
      </c>
      <c r="E293" s="43" t="s">
        <v>876</v>
      </c>
      <c r="F293" s="40" t="s">
        <v>1108</v>
      </c>
      <c r="G293" s="40" t="str">
        <f xml:space="preserve"> IF(F293=$C$13,"Ok","Des pertes de documents ont été constatées.")</f>
        <v>Des pertes de documents ont été constatées.</v>
      </c>
      <c r="H293" s="29" t="str">
        <f xml:space="preserve"> IF(F293=$C$13,"Ok à maintenir","Déployer un système numérique sécurisé d'archivage et de conservation des livrables.")</f>
        <v>Déployer un système numérique sécurisé d'archivage et de conservation des livrables.</v>
      </c>
      <c r="I293" s="51" t="s">
        <v>296</v>
      </c>
      <c r="J293" s="29" t="str">
        <f xml:space="preserve"> IF(F293=$C$13,"-","30jours")</f>
        <v>30jours</v>
      </c>
      <c r="K293" s="42" t="str">
        <f xml:space="preserve"> IF(F293=$C$13,"-","Ouverte")</f>
        <v>Ouverte</v>
      </c>
    </row>
    <row r="294" spans="2:11" ht="30">
      <c r="B294" s="47" t="s">
        <v>877</v>
      </c>
      <c r="C294" s="40" t="s">
        <v>260</v>
      </c>
      <c r="D294" s="40" t="s">
        <v>469</v>
      </c>
      <c r="E294" s="40" t="s">
        <v>470</v>
      </c>
      <c r="F294" s="40" t="s">
        <v>1108</v>
      </c>
      <c r="G294" s="40" t="str">
        <f xml:space="preserve"> IF(F294=$C$13,"Ok","Aucun système de sauvegarde fiable n'est démontré.")</f>
        <v>Aucun système de sauvegarde fiable n'est démontré.</v>
      </c>
      <c r="H294" s="29" t="str">
        <f xml:space="preserve"> IF(F294=$C$13,"Ok à maintenir","Mettre en œuvre une stratégie de sauvegarde automatique, redondante et sécurisée des données critiques.")</f>
        <v>Mettre en œuvre une stratégie de sauvegarde automatique, redondante et sécurisée des données critiques.</v>
      </c>
      <c r="I294" s="51" t="s">
        <v>260</v>
      </c>
      <c r="J294" s="29" t="str">
        <f xml:space="preserve"> IF(F294=$C$13,"-","30jours")</f>
        <v>30jours</v>
      </c>
      <c r="K294" s="42" t="str">
        <f xml:space="preserve"> IF(F294=$C$13,"-","Ouverte")</f>
        <v>Ouverte</v>
      </c>
    </row>
    <row r="295" spans="2:11" ht="22.5">
      <c r="B295" s="33" t="s">
        <v>471</v>
      </c>
      <c r="C295" s="32"/>
      <c r="D295" s="32"/>
      <c r="E295" s="32"/>
      <c r="F295" s="32"/>
      <c r="G295" s="40"/>
      <c r="H295" s="29"/>
      <c r="I295" s="32"/>
      <c r="J295" s="29"/>
      <c r="K295" s="42"/>
    </row>
    <row r="296" spans="2:11">
      <c r="B296" s="21"/>
      <c r="C296" s="32"/>
      <c r="D296" s="32"/>
      <c r="E296" s="32"/>
      <c r="F296" s="32"/>
      <c r="G296" s="40"/>
      <c r="H296" s="29"/>
      <c r="I296" s="32"/>
      <c r="J296" s="29"/>
      <c r="K296" s="42"/>
    </row>
    <row r="297" spans="2:11">
      <c r="B297" s="35" t="s">
        <v>38</v>
      </c>
      <c r="C297" s="36" t="s">
        <v>39</v>
      </c>
      <c r="D297" s="36" t="s">
        <v>13</v>
      </c>
      <c r="E297" s="36" t="s">
        <v>1128</v>
      </c>
      <c r="F297" s="36" t="s">
        <v>842</v>
      </c>
      <c r="G297" s="37" t="s">
        <v>11</v>
      </c>
      <c r="H297" s="37" t="s">
        <v>41</v>
      </c>
      <c r="I297" s="37" t="s">
        <v>42</v>
      </c>
      <c r="J297" s="37" t="s">
        <v>43</v>
      </c>
      <c r="K297" s="38" t="s">
        <v>44</v>
      </c>
    </row>
    <row r="298" spans="2:11" ht="30">
      <c r="B298" s="92" t="s">
        <v>878</v>
      </c>
      <c r="C298" s="167" t="s">
        <v>74</v>
      </c>
      <c r="D298" s="167" t="s">
        <v>472</v>
      </c>
      <c r="E298" s="167" t="s">
        <v>473</v>
      </c>
      <c r="F298" s="167" t="s">
        <v>1108</v>
      </c>
      <c r="G298" s="167" t="str">
        <f xml:space="preserve"> IF(F298=$C$13,"Ok","Des modifications sont réalisées sans validation ni analyse préalable.")</f>
        <v>Des modifications sont réalisées sans validation ni analyse préalable.</v>
      </c>
      <c r="H298" s="168" t="str">
        <f xml:space="preserve"> IF(F298=$C$13,"Ok à maintenir","Mettre en place un processus de gestion des changements intégrant validation, analyse d'impact et capitalisation des connaissances.")</f>
        <v>Mettre en place un processus de gestion des changements intégrant validation, analyse d'impact et capitalisation des connaissances.</v>
      </c>
      <c r="I298" s="180" t="s">
        <v>296</v>
      </c>
      <c r="J298" s="168" t="str">
        <f xml:space="preserve"> IF(F298=$C$13,"-","30jours")</f>
        <v>30jours</v>
      </c>
      <c r="K298" s="174" t="str">
        <f xml:space="preserve"> IF(F298=$C$13,"-","Ouverte")</f>
        <v>Ouverte</v>
      </c>
    </row>
    <row r="299" spans="2:11" ht="27">
      <c r="B299" s="175" t="s">
        <v>474</v>
      </c>
      <c r="C299" s="165"/>
      <c r="D299" s="165"/>
      <c r="E299" s="165"/>
      <c r="F299" s="165"/>
      <c r="G299" s="169"/>
      <c r="H299" s="170"/>
      <c r="I299" s="165"/>
      <c r="J299" s="170"/>
      <c r="K299" s="176"/>
    </row>
    <row r="300" spans="2:11">
      <c r="B300" s="21"/>
      <c r="C300" s="32"/>
      <c r="D300" s="32"/>
      <c r="E300" s="32"/>
      <c r="F300" s="32"/>
      <c r="G300" s="40"/>
      <c r="H300" s="29"/>
      <c r="I300" s="32"/>
      <c r="J300" s="29"/>
      <c r="K300" s="42"/>
    </row>
    <row r="301" spans="2:11">
      <c r="B301" s="35" t="s">
        <v>38</v>
      </c>
      <c r="C301" s="36" t="s">
        <v>39</v>
      </c>
      <c r="D301" s="36" t="s">
        <v>13</v>
      </c>
      <c r="E301" s="36" t="s">
        <v>1128</v>
      </c>
      <c r="F301" s="36" t="s">
        <v>842</v>
      </c>
      <c r="G301" s="37" t="s">
        <v>11</v>
      </c>
      <c r="H301" s="37" t="s">
        <v>41</v>
      </c>
      <c r="I301" s="37" t="s">
        <v>42</v>
      </c>
      <c r="J301" s="37" t="s">
        <v>43</v>
      </c>
      <c r="K301" s="38" t="s">
        <v>44</v>
      </c>
    </row>
    <row r="302" spans="2:11" ht="30">
      <c r="B302" s="39" t="s">
        <v>475</v>
      </c>
      <c r="C302" s="40" t="s">
        <v>79</v>
      </c>
      <c r="D302" s="40" t="s">
        <v>476</v>
      </c>
      <c r="E302" s="40" t="s">
        <v>477</v>
      </c>
      <c r="F302" s="40" t="s">
        <v>1108</v>
      </c>
      <c r="G302" s="40" t="str">
        <f xml:space="preserve"> IF(F302=$C$13,"Ok","Certains livrables sont transmis sans contrôle final documenté.")</f>
        <v>Certains livrables sont transmis sans contrôle final documenté.</v>
      </c>
      <c r="H302" s="29" t="str">
        <f xml:space="preserve"> IF(F302=$C$13,"Ok à maintenir","Mettre en œuvre un système de validation multicritère avant diffusion des livrables.")</f>
        <v>Mettre en œuvre un système de validation multicritère avant diffusion des livrables.</v>
      </c>
      <c r="I302" s="51" t="s">
        <v>82</v>
      </c>
      <c r="J302" s="29" t="str">
        <f xml:space="preserve"> IF(F302=$C$13,"-","30jours")</f>
        <v>30jours</v>
      </c>
      <c r="K302" s="42" t="str">
        <f xml:space="preserve"> IF(F302=$C$13,"-","Ouverte")</f>
        <v>Ouverte</v>
      </c>
    </row>
    <row r="303" spans="2:11" ht="30">
      <c r="B303" s="178" t="s">
        <v>478</v>
      </c>
      <c r="C303" s="93" t="s">
        <v>879</v>
      </c>
      <c r="D303" s="167" t="s">
        <v>479</v>
      </c>
      <c r="E303" s="167" t="s">
        <v>480</v>
      </c>
      <c r="F303" s="167" t="s">
        <v>1108</v>
      </c>
      <c r="G303" s="167" t="str">
        <f xml:space="preserve"> IF(F303=$C$13,"Ok","Les preuves de vérification et validation sont absentes ou incomplètes.")</f>
        <v>Les preuves de vérification et validation sont absentes ou incomplètes.</v>
      </c>
      <c r="H303" s="168" t="str">
        <f xml:space="preserve"> IF(F303=$C$13,"Ok à maintenir","Déployer une gestion des enregistrements garantissant la traçabilité des contrôles réalisés.")</f>
        <v>Déployer une gestion des enregistrements garantissant la traçabilité des contrôles réalisés.</v>
      </c>
      <c r="I303" s="93" t="s">
        <v>879</v>
      </c>
      <c r="J303" s="168" t="str">
        <f xml:space="preserve"> IF(F303=$C$13,"-","30jours")</f>
        <v>30jours</v>
      </c>
      <c r="K303" s="174" t="str">
        <f xml:space="preserve"> IF(F303=$C$13,"-","Ouverte")</f>
        <v>Ouverte</v>
      </c>
    </row>
    <row r="304" spans="2:11" ht="27">
      <c r="B304" s="34" t="s">
        <v>481</v>
      </c>
      <c r="C304" s="32"/>
      <c r="D304" s="32"/>
      <c r="E304" s="32"/>
      <c r="F304" s="32"/>
      <c r="G304" s="40"/>
      <c r="H304" s="29"/>
      <c r="I304" s="32"/>
      <c r="J304" s="29"/>
      <c r="K304" s="42"/>
    </row>
    <row r="305" spans="2:11">
      <c r="B305" s="21"/>
      <c r="C305" s="32"/>
      <c r="D305" s="32"/>
      <c r="E305" s="32"/>
      <c r="F305" s="32"/>
      <c r="G305" s="40"/>
      <c r="H305" s="29"/>
      <c r="I305" s="32"/>
      <c r="J305" s="29"/>
      <c r="K305" s="42"/>
    </row>
    <row r="306" spans="2:11">
      <c r="B306" s="35" t="s">
        <v>38</v>
      </c>
      <c r="C306" s="36" t="s">
        <v>39</v>
      </c>
      <c r="D306" s="36" t="s">
        <v>13</v>
      </c>
      <c r="E306" s="36" t="s">
        <v>1128</v>
      </c>
      <c r="F306" s="36" t="s">
        <v>842</v>
      </c>
      <c r="G306" s="37" t="s">
        <v>11</v>
      </c>
      <c r="H306" s="37" t="s">
        <v>41</v>
      </c>
      <c r="I306" s="37" t="s">
        <v>42</v>
      </c>
      <c r="J306" s="37" t="s">
        <v>43</v>
      </c>
      <c r="K306" s="38" t="s">
        <v>44</v>
      </c>
    </row>
    <row r="307" spans="2:11" ht="30">
      <c r="B307" s="47" t="s">
        <v>880</v>
      </c>
      <c r="C307" s="40" t="s">
        <v>74</v>
      </c>
      <c r="D307" s="40" t="s">
        <v>482</v>
      </c>
      <c r="E307" s="40" t="s">
        <v>483</v>
      </c>
      <c r="F307" s="40" t="s">
        <v>1108</v>
      </c>
      <c r="G307" s="40" t="str">
        <f xml:space="preserve"> IF(F307=$C$13,"Ok","Les erreurs sont corrigées sans enregistrement ni analyse formelle.")</f>
        <v>Les erreurs sont corrigées sans enregistrement ni analyse formelle.</v>
      </c>
      <c r="H307" s="29" t="str">
        <f xml:space="preserve"> IF(F307=$C$13,"Ok à maintenir","Mettre en place une base de gestion des non-conformités permettant l'analyse des tendances et l'apprentissage organisationnel.")</f>
        <v>Mettre en place une base de gestion des non-conformités permettant l'analyse des tendances et l'apprentissage organisationnel.</v>
      </c>
      <c r="I307" s="51" t="s">
        <v>296</v>
      </c>
      <c r="J307" s="29" t="str">
        <f xml:space="preserve"> IF(F307=$C$13,"-","30jours")</f>
        <v>30jours</v>
      </c>
      <c r="K307" s="42" t="str">
        <f xml:space="preserve"> IF(F307=$C$13,"-","Ouverte")</f>
        <v>Ouverte</v>
      </c>
    </row>
    <row r="308" spans="2:11" ht="30">
      <c r="B308" s="39" t="s">
        <v>484</v>
      </c>
      <c r="C308" s="40" t="s">
        <v>328</v>
      </c>
      <c r="D308" s="40" t="s">
        <v>485</v>
      </c>
      <c r="E308" s="40" t="s">
        <v>486</v>
      </c>
      <c r="F308" s="40" t="s">
        <v>1108</v>
      </c>
      <c r="G308" s="40" t="str">
        <f xml:space="preserve"> IF(F308=$C$13,"Ok","Les corrections sont réalisées sans recherche des causes profondes.")</f>
        <v>Les corrections sont réalisées sans recherche des causes profondes.</v>
      </c>
      <c r="H308" s="29" t="str">
        <f xml:space="preserve"> IF(F308=$C$13,"Ok à maintenir","Généraliser l'utilisation des méthodes d'analyse des causes racines (5 Pourquoi, Ishikawa).")</f>
        <v>Généraliser l'utilisation des méthodes d'analyse des causes racines (5 Pourquoi, Ishikawa).</v>
      </c>
      <c r="I308" s="51" t="s">
        <v>53</v>
      </c>
      <c r="J308" s="29" t="str">
        <f xml:space="preserve"> IF(F308=$C$13,"-","30jours")</f>
        <v>30jours</v>
      </c>
      <c r="K308" s="42" t="str">
        <f xml:space="preserve"> IF(F308=$C$13,"-","Ouverte")</f>
        <v>Ouverte</v>
      </c>
    </row>
    <row r="309" spans="2:11" ht="30.75" thickBot="1">
      <c r="B309" s="161" t="s">
        <v>487</v>
      </c>
      <c r="C309" s="53" t="s">
        <v>46</v>
      </c>
      <c r="D309" s="53" t="s">
        <v>488</v>
      </c>
      <c r="E309" s="53" t="s">
        <v>489</v>
      </c>
      <c r="F309" s="53" t="s">
        <v>1108</v>
      </c>
      <c r="G309" s="53" t="str">
        <f xml:space="preserve"> IF(F309=$C$13,"Ok","Certaines erreurs susceptibles d'impacter le client ne sont pas communiquées de manière transparente.")</f>
        <v>Certaines erreurs susceptibles d'impacter le client ne sont pas communiquées de manière transparente.</v>
      </c>
      <c r="H309" s="158" t="str">
        <f xml:space="preserve"> IF(F309=$C$13,"Ok à maintenir","Formaliser un protocole de communication des incidents favorisant la confiance client, l'amélioration continue et l'innovation collaborative.")</f>
        <v>Formaliser un protocole de communication des incidents favorisant la confiance client, l'amélioration continue et l'innovation collaborative.</v>
      </c>
      <c r="I309" s="159" t="s">
        <v>62</v>
      </c>
      <c r="J309" s="158" t="str">
        <f xml:space="preserve"> IF(F309=$C$13,"-","30jours")</f>
        <v>30jours</v>
      </c>
      <c r="K309" s="160" t="str">
        <f xml:space="preserve"> IF(F309=$C$13,"-","Ouverte")</f>
        <v>Ouverte</v>
      </c>
    </row>
    <row r="310" spans="2:11" ht="30">
      <c r="B310" s="62" t="s">
        <v>490</v>
      </c>
      <c r="C310" s="30"/>
      <c r="D310" s="30"/>
      <c r="E310" s="30"/>
      <c r="F310" s="30"/>
      <c r="G310" s="155"/>
      <c r="H310" s="156"/>
      <c r="I310" s="30"/>
      <c r="J310" s="156"/>
      <c r="K310" s="157"/>
    </row>
    <row r="311" spans="2:11">
      <c r="B311" s="21"/>
      <c r="C311" s="32"/>
      <c r="D311" s="32"/>
      <c r="E311" s="32"/>
      <c r="F311" s="32"/>
      <c r="G311" s="40"/>
      <c r="H311" s="29"/>
      <c r="I311" s="32"/>
      <c r="J311" s="29"/>
      <c r="K311" s="42"/>
    </row>
    <row r="312" spans="2:11" ht="27">
      <c r="B312" s="175" t="s">
        <v>491</v>
      </c>
      <c r="C312" s="165"/>
      <c r="D312" s="165"/>
      <c r="E312" s="165"/>
      <c r="F312" s="165"/>
      <c r="G312" s="169"/>
      <c r="H312" s="170"/>
      <c r="I312" s="165"/>
      <c r="J312" s="170"/>
      <c r="K312" s="176"/>
    </row>
    <row r="313" spans="2:11">
      <c r="B313" s="21"/>
      <c r="C313" s="32"/>
      <c r="D313" s="32"/>
      <c r="E313" s="32"/>
      <c r="F313" s="32"/>
      <c r="G313" s="40"/>
      <c r="H313" s="29"/>
      <c r="I313" s="32"/>
      <c r="J313" s="29"/>
      <c r="K313" s="42"/>
    </row>
    <row r="314" spans="2:11" ht="22.5">
      <c r="B314" s="33" t="s">
        <v>492</v>
      </c>
      <c r="C314" s="32"/>
      <c r="D314" s="32"/>
      <c r="E314" s="32"/>
      <c r="F314" s="32"/>
      <c r="G314" s="40"/>
      <c r="H314" s="29"/>
      <c r="I314" s="32"/>
      <c r="J314" s="29"/>
      <c r="K314" s="42"/>
    </row>
    <row r="315" spans="2:11">
      <c r="B315" s="21"/>
      <c r="C315" s="32"/>
      <c r="D315" s="32"/>
      <c r="E315" s="32"/>
      <c r="F315" s="32"/>
      <c r="G315" s="40"/>
      <c r="H315" s="29"/>
      <c r="I315" s="32"/>
      <c r="J315" s="29"/>
      <c r="K315" s="42"/>
    </row>
    <row r="316" spans="2:11">
      <c r="B316" s="35" t="s">
        <v>38</v>
      </c>
      <c r="C316" s="36" t="s">
        <v>39</v>
      </c>
      <c r="D316" s="36" t="s">
        <v>13</v>
      </c>
      <c r="E316" s="36" t="s">
        <v>1128</v>
      </c>
      <c r="F316" s="36" t="s">
        <v>842</v>
      </c>
      <c r="G316" s="37" t="s">
        <v>11</v>
      </c>
      <c r="H316" s="37" t="s">
        <v>41</v>
      </c>
      <c r="I316" s="37" t="s">
        <v>42</v>
      </c>
      <c r="J316" s="37" t="s">
        <v>43</v>
      </c>
      <c r="K316" s="38" t="s">
        <v>44</v>
      </c>
    </row>
    <row r="317" spans="2:11" ht="30">
      <c r="B317" s="39" t="s">
        <v>494</v>
      </c>
      <c r="C317" s="40" t="s">
        <v>69</v>
      </c>
      <c r="D317" s="40" t="s">
        <v>495</v>
      </c>
      <c r="E317" s="40" t="s">
        <v>496</v>
      </c>
      <c r="F317" s="40" t="s">
        <v>1108</v>
      </c>
      <c r="G317" s="40" t="str">
        <f xml:space="preserve"> IF(F317=$C$13,"Ok","Aucun indicateur ne permet de mesurer l'efficacité des processus.")</f>
        <v>Aucun indicateur ne permet de mesurer l'efficacité des processus.</v>
      </c>
      <c r="H317" s="29" t="str">
        <f xml:space="preserve"> IF(F317=$C$13,"Ok à maintenir","Déployer un tableau de bord digital intégrant des KPI qualité et innovation pour chaque processus stratégique.")</f>
        <v>Déployer un tableau de bord digital intégrant des KPI qualité et innovation pour chaque processus stratégique.</v>
      </c>
      <c r="I317" s="51" t="s">
        <v>53</v>
      </c>
      <c r="J317" s="29" t="str">
        <f xml:space="preserve"> IF(F317=$C$13,"-","30jours")</f>
        <v>30jours</v>
      </c>
      <c r="K317" s="42" t="str">
        <f xml:space="preserve"> IF(F317=$C$13,"-","Ouverte")</f>
        <v>Ouverte</v>
      </c>
    </row>
    <row r="318" spans="2:11" ht="30">
      <c r="B318" s="39" t="s">
        <v>497</v>
      </c>
      <c r="C318" s="40" t="s">
        <v>106</v>
      </c>
      <c r="D318" s="40" t="s">
        <v>498</v>
      </c>
      <c r="E318" s="40" t="s">
        <v>499</v>
      </c>
      <c r="F318" s="40" t="s">
        <v>1108</v>
      </c>
      <c r="G318" s="40" t="str">
        <f xml:space="preserve"> IF(F318=$C$13,"Ok","Les mesures sont réalisées sans méthodologie harmonisée.")</f>
        <v>Les mesures sont réalisées sans méthodologie harmonisée.</v>
      </c>
      <c r="H318" s="29" t="str">
        <f xml:space="preserve"> IF(F318=$C$13,"Ok à maintenir","Standardiser les méthodes de mesure et automatiser la collecte des données via un système de pilotage.")</f>
        <v>Standardiser les méthodes de mesure et automatiser la collecte des données via un système de pilotage.</v>
      </c>
      <c r="I318" s="51" t="s">
        <v>109</v>
      </c>
      <c r="J318" s="29" t="str">
        <f xml:space="preserve"> IF(F318=$C$13,"-","30jours")</f>
        <v>30jours</v>
      </c>
      <c r="K318" s="42" t="str">
        <f xml:space="preserve"> IF(F318=$C$13,"-","Ouverte")</f>
        <v>Ouverte</v>
      </c>
    </row>
    <row r="319" spans="2:11" ht="30">
      <c r="B319" s="39" t="s">
        <v>500</v>
      </c>
      <c r="C319" s="40" t="s">
        <v>46</v>
      </c>
      <c r="D319" s="40" t="s">
        <v>501</v>
      </c>
      <c r="E319" s="40" t="s">
        <v>502</v>
      </c>
      <c r="F319" s="40" t="s">
        <v>1108</v>
      </c>
      <c r="G319" s="40" t="str">
        <f xml:space="preserve"> IF(F319=$C$13,"Ok","Les données sont collectées mais ne sont pas exploitées pour la prise de décision.")</f>
        <v>Les données sont collectées mais ne sont pas exploitées pour la prise de décision.</v>
      </c>
      <c r="H319" s="29" t="str">
        <f xml:space="preserve"> IF(F319=$C$13,"Ok à maintenir","Mettre en place des revues périodiques basées sur l'analyse des données afin d'identifier les opportunités d'amélioration et d'innovation.")</f>
        <v>Mettre en place des revues périodiques basées sur l'analyse des données afin d'identifier les opportunités d'amélioration et d'innovation.</v>
      </c>
      <c r="I319" s="51" t="s">
        <v>46</v>
      </c>
      <c r="J319" s="29" t="str">
        <f xml:space="preserve"> IF(F319=$C$13,"-","30jours")</f>
        <v>30jours</v>
      </c>
      <c r="K319" s="42" t="str">
        <f xml:space="preserve"> IF(F319=$C$13,"-","Ouverte")</f>
        <v>Ouverte</v>
      </c>
    </row>
    <row r="320" spans="2:11" ht="30">
      <c r="B320" s="39" t="s">
        <v>503</v>
      </c>
      <c r="C320" s="40" t="s">
        <v>55</v>
      </c>
      <c r="D320" s="43" t="s">
        <v>504</v>
      </c>
      <c r="E320" s="43" t="s">
        <v>505</v>
      </c>
      <c r="F320" s="40" t="s">
        <v>1108</v>
      </c>
      <c r="G320" s="40" t="str">
        <f xml:space="preserve"> IF(F320=$C$13,"Ok","Aucun indicateur ne mesure la performance technique.")</f>
        <v>Aucun indicateur ne mesure la performance technique.</v>
      </c>
      <c r="H320" s="29" t="str">
        <f xml:space="preserve"> IF(F320=$C$13,"Ok à maintenir","Définir des indicateurs de performance (erreurs, délais, productivité, satisfaction client, innovation technique).")</f>
        <v>Définir des indicateurs de performance (erreurs, délais, productivité, satisfaction client, innovation technique).</v>
      </c>
      <c r="I320" s="51" t="s">
        <v>243</v>
      </c>
      <c r="J320" s="29" t="str">
        <f xml:space="preserve"> IF(F320=$C$13,"-","30jours")</f>
        <v>30jours</v>
      </c>
      <c r="K320" s="42" t="str">
        <f xml:space="preserve"> IF(F320=$C$13,"-","Ouverte")</f>
        <v>Ouverte</v>
      </c>
    </row>
    <row r="321" spans="2:11" ht="22.5">
      <c r="B321" s="33" t="s">
        <v>506</v>
      </c>
      <c r="C321" s="32"/>
      <c r="D321" s="32"/>
      <c r="E321" s="32"/>
      <c r="F321" s="32"/>
      <c r="G321" s="40"/>
      <c r="H321" s="29"/>
      <c r="I321" s="32"/>
      <c r="J321" s="29"/>
      <c r="K321" s="42"/>
    </row>
    <row r="322" spans="2:11">
      <c r="B322" s="21"/>
      <c r="C322" s="32"/>
      <c r="D322" s="32"/>
      <c r="E322" s="32"/>
      <c r="F322" s="32"/>
      <c r="G322" s="40"/>
      <c r="H322" s="29"/>
      <c r="I322" s="32"/>
      <c r="J322" s="29"/>
      <c r="K322" s="42"/>
    </row>
    <row r="323" spans="2:11">
      <c r="B323" s="35" t="s">
        <v>38</v>
      </c>
      <c r="C323" s="36" t="s">
        <v>39</v>
      </c>
      <c r="D323" s="36" t="s">
        <v>13</v>
      </c>
      <c r="E323" s="36" t="s">
        <v>1128</v>
      </c>
      <c r="F323" s="36" t="s">
        <v>842</v>
      </c>
      <c r="G323" s="37" t="s">
        <v>11</v>
      </c>
      <c r="H323" s="37" t="s">
        <v>41</v>
      </c>
      <c r="I323" s="37" t="s">
        <v>42</v>
      </c>
      <c r="J323" s="37" t="s">
        <v>43</v>
      </c>
      <c r="K323" s="38" t="s">
        <v>44</v>
      </c>
    </row>
    <row r="324" spans="2:11" ht="30">
      <c r="B324" s="39" t="s">
        <v>507</v>
      </c>
      <c r="C324" s="40" t="s">
        <v>69</v>
      </c>
      <c r="D324" s="40" t="s">
        <v>508</v>
      </c>
      <c r="E324" s="40" t="s">
        <v>509</v>
      </c>
      <c r="F324" s="40" t="s">
        <v>1108</v>
      </c>
      <c r="G324" s="40" t="str">
        <f xml:space="preserve"> IF(F324=$C$13,"Ok","Aucun dispositif formel de mesure de la satisfaction client n'existe.")</f>
        <v>Aucun dispositif formel de mesure de la satisfaction client n'existe.</v>
      </c>
      <c r="H324" s="29" t="str">
        <f xml:space="preserve"> IF(F324=$C$13,"Ok à maintenir","Mettre en place un système numérique d'enquête client et d'analyse de l'expérience client afin d'identifier les attentes futures.")</f>
        <v>Mettre en place un système numérique d'enquête client et d'analyse de l'expérience client afin d'identifier les attentes futures.</v>
      </c>
      <c r="I324" s="51" t="s">
        <v>53</v>
      </c>
      <c r="J324" s="29" t="str">
        <f xml:space="preserve"> IF(F324=$C$13,"-","30jours")</f>
        <v>30jours</v>
      </c>
      <c r="K324" s="42" t="str">
        <f xml:space="preserve"> IF(F324=$C$13,"-","Ouverte")</f>
        <v>Ouverte</v>
      </c>
    </row>
    <row r="325" spans="2:11" ht="30">
      <c r="B325" s="39" t="s">
        <v>510</v>
      </c>
      <c r="C325" s="40" t="s">
        <v>74</v>
      </c>
      <c r="D325" s="40" t="s">
        <v>511</v>
      </c>
      <c r="E325" s="43" t="s">
        <v>512</v>
      </c>
      <c r="F325" s="40" t="s">
        <v>1108</v>
      </c>
      <c r="G325" s="40" t="str">
        <f xml:space="preserve"> IF(F325=$C$13,"Ok","Les réclamations sont traitées de manière informelle sans enregistrement.")</f>
        <v>Les réclamations sont traitées de manière informelle sans enregistrement.</v>
      </c>
      <c r="H325" s="29" t="str">
        <f xml:space="preserve"> IF(F325=$C$13,"Ok à maintenir","Créer une base de données des réclamations permettant l'analyse des tendances et l'identification d'opportunités d'innovation.")</f>
        <v>Créer une base de données des réclamations permettant l'analyse des tendances et l'identification d'opportunités d'innovation.</v>
      </c>
      <c r="I325" s="51" t="s">
        <v>296</v>
      </c>
      <c r="J325" s="29" t="str">
        <f xml:space="preserve"> IF(F325=$C$13,"-","30jours")</f>
        <v>30jours</v>
      </c>
      <c r="K325" s="42" t="str">
        <f xml:space="preserve"> IF(F325=$C$13,"-","Ouverte")</f>
        <v>Ouverte</v>
      </c>
    </row>
    <row r="326" spans="2:11" ht="30">
      <c r="B326" s="39" t="s">
        <v>513</v>
      </c>
      <c r="C326" s="40" t="s">
        <v>328</v>
      </c>
      <c r="D326" s="40" t="s">
        <v>514</v>
      </c>
      <c r="E326" s="40" t="s">
        <v>515</v>
      </c>
      <c r="F326" s="40" t="s">
        <v>1108</v>
      </c>
      <c r="G326" s="40" t="str">
        <f xml:space="preserve"> IF(F326=$C$13,"Ok","Les problèmes sont traités sans analyse approfondie des causes.")</f>
        <v>Les problèmes sont traités sans analyse approfondie des causes.</v>
      </c>
      <c r="H326" s="29" t="str">
        <f xml:space="preserve"> IF(F326=$C$13,"Ok à maintenir","Généraliser l'analyse des causes racines et intégrer les enseignements dans les projets futurs.")</f>
        <v>Généraliser l'analyse des causes racines et intégrer les enseignements dans les projets futurs.</v>
      </c>
      <c r="I326" s="51" t="s">
        <v>53</v>
      </c>
      <c r="J326" s="29" t="str">
        <f xml:space="preserve"> IF(F326=$C$13,"-","30jours")</f>
        <v>30jours</v>
      </c>
      <c r="K326" s="42" t="str">
        <f xml:space="preserve"> IF(F326=$C$13,"-","Ouverte")</f>
        <v>Ouverte</v>
      </c>
    </row>
    <row r="327" spans="2:11" ht="30">
      <c r="B327" s="39" t="s">
        <v>516</v>
      </c>
      <c r="C327" s="40" t="s">
        <v>328</v>
      </c>
      <c r="D327" s="40" t="s">
        <v>517</v>
      </c>
      <c r="E327" s="40" t="s">
        <v>518</v>
      </c>
      <c r="F327" s="40" t="s">
        <v>1108</v>
      </c>
      <c r="G327" s="40" t="str">
        <f xml:space="preserve"> IF(F327=$C$13,"Ok","Les résultats clients ne sont pas communiqués à la direction.")</f>
        <v>Les résultats clients ne sont pas communiqués à la direction.</v>
      </c>
      <c r="H327" s="29" t="str">
        <f xml:space="preserve"> IF(F327=$C$13,"Ok à maintenir","Intégrer les indicateurs de satisfaction dans les tableaux de bord stratégiques et les revues de direction.")</f>
        <v>Intégrer les indicateurs de satisfaction dans les tableaux de bord stratégiques et les revues de direction.</v>
      </c>
      <c r="I327" s="51" t="s">
        <v>53</v>
      </c>
      <c r="J327" s="29" t="str">
        <f xml:space="preserve"> IF(F327=$C$13,"-","30jours")</f>
        <v>30jours</v>
      </c>
      <c r="K327" s="42" t="str">
        <f xml:space="preserve"> IF(F327=$C$13,"-","Ouverte")</f>
        <v>Ouverte</v>
      </c>
    </row>
    <row r="328" spans="2:11" ht="22.5">
      <c r="B328" s="33" t="s">
        <v>519</v>
      </c>
      <c r="C328" s="32"/>
      <c r="D328" s="32"/>
      <c r="E328" s="32"/>
      <c r="F328" s="32"/>
      <c r="G328" s="40"/>
      <c r="H328" s="29"/>
      <c r="I328" s="32"/>
      <c r="J328" s="29"/>
      <c r="K328" s="42"/>
    </row>
    <row r="329" spans="2:11">
      <c r="B329" s="21"/>
      <c r="C329" s="32"/>
      <c r="D329" s="32"/>
      <c r="E329" s="32"/>
      <c r="F329" s="32"/>
      <c r="G329" s="40"/>
      <c r="H329" s="29"/>
      <c r="I329" s="32"/>
      <c r="J329" s="29"/>
      <c r="K329" s="42"/>
    </row>
    <row r="330" spans="2:11">
      <c r="B330" s="35" t="s">
        <v>38</v>
      </c>
      <c r="C330" s="36" t="s">
        <v>39</v>
      </c>
      <c r="D330" s="36" t="s">
        <v>13</v>
      </c>
      <c r="E330" s="36" t="s">
        <v>1128</v>
      </c>
      <c r="F330" s="36" t="s">
        <v>842</v>
      </c>
      <c r="G330" s="37" t="s">
        <v>11</v>
      </c>
      <c r="H330" s="37" t="s">
        <v>41</v>
      </c>
      <c r="I330" s="37" t="s">
        <v>42</v>
      </c>
      <c r="J330" s="37" t="s">
        <v>43</v>
      </c>
      <c r="K330" s="38" t="s">
        <v>44</v>
      </c>
    </row>
    <row r="331" spans="2:11" ht="30">
      <c r="B331" s="39" t="s">
        <v>520</v>
      </c>
      <c r="C331" s="40" t="s">
        <v>328</v>
      </c>
      <c r="D331" s="40" t="s">
        <v>521</v>
      </c>
      <c r="E331" s="40" t="s">
        <v>522</v>
      </c>
      <c r="F331" s="40" t="s">
        <v>1108</v>
      </c>
      <c r="G331" s="40" t="str">
        <f xml:space="preserve"> IF(F331=$C$13,"Ok","Les données sont archivées sans exploitation.")</f>
        <v>Les données sont archivées sans exploitation.</v>
      </c>
      <c r="H331" s="29" t="str">
        <f xml:space="preserve"> IF(F331=$C$13,"Ok à maintenir","Déployer des outils d'analyse de données permettant d'identifier les axes d'amélioration et les opportunités d'innovation.")</f>
        <v>Déployer des outils d'analyse de données permettant d'identifier les axes d'amélioration et les opportunités d'innovation.</v>
      </c>
      <c r="I331" s="51" t="s">
        <v>53</v>
      </c>
      <c r="J331" s="29" t="str">
        <f xml:space="preserve"> IF(F331=$C$13,"-","30jours")</f>
        <v>30jours</v>
      </c>
      <c r="K331" s="42" t="str">
        <f xml:space="preserve"> IF(F331=$C$13,"-","Ouverte")</f>
        <v>Ouverte</v>
      </c>
    </row>
    <row r="332" spans="2:11" ht="30">
      <c r="B332" s="39" t="s">
        <v>523</v>
      </c>
      <c r="C332" s="40" t="s">
        <v>46</v>
      </c>
      <c r="D332" s="40" t="s">
        <v>524</v>
      </c>
      <c r="E332" s="40" t="s">
        <v>525</v>
      </c>
      <c r="F332" s="40" t="s">
        <v>1108</v>
      </c>
      <c r="G332" s="40" t="str">
        <f xml:space="preserve"> IF(F332=$C$13,"Ok","Les décisions reposent principalement sur l'expérience personnelle.")</f>
        <v>Les décisions reposent principalement sur l'expérience personnelle.</v>
      </c>
      <c r="H332" s="29" t="str">
        <f xml:space="preserve"> IF(F332=$C$13,"Ok à maintenir","Mettre en œuvre une culture de décision basée sur les données et les indicateurs de performance.")</f>
        <v>Mettre en œuvre une culture de décision basée sur les données et les indicateurs de performance.</v>
      </c>
      <c r="I332" s="51" t="s">
        <v>46</v>
      </c>
      <c r="J332" s="29" t="str">
        <f xml:space="preserve"> IF(F332=$C$13,"-","30jours")</f>
        <v>30jours</v>
      </c>
      <c r="K332" s="42" t="str">
        <f xml:space="preserve"> IF(F332=$C$13,"-","Ouverte")</f>
        <v>Ouverte</v>
      </c>
    </row>
    <row r="333" spans="2:11" ht="30">
      <c r="B333" s="39" t="s">
        <v>526</v>
      </c>
      <c r="C333" s="40" t="s">
        <v>84</v>
      </c>
      <c r="D333" s="40" t="s">
        <v>434</v>
      </c>
      <c r="E333" s="40" t="s">
        <v>435</v>
      </c>
      <c r="F333" s="40" t="s">
        <v>1108</v>
      </c>
      <c r="G333" s="40" t="str">
        <f xml:space="preserve"> IF(F333=$C$13,"Ok","Manque de suivi structuré des fournisseurs.")</f>
        <v>Manque de suivi structuré des fournisseurs.</v>
      </c>
      <c r="H333" s="29" t="str">
        <f xml:space="preserve"> IF(F333=$C$13,"Ok à maintenir","Créer un système d'évaluation continue intégrant performance et capacité d'amélioration des fournisseurs.")</f>
        <v>Créer un système d'évaluation continue intégrant performance et capacité d'amélioration des fournisseurs.</v>
      </c>
      <c r="I333" s="51" t="s">
        <v>84</v>
      </c>
      <c r="J333" s="29" t="str">
        <f xml:space="preserve"> IF(F333=$C$13,"-","30jours")</f>
        <v>30jours</v>
      </c>
      <c r="K333" s="42" t="str">
        <f xml:space="preserve"> IF(F333=$C$13,"-","Ouverte")</f>
        <v>Ouverte</v>
      </c>
    </row>
    <row r="334" spans="2:11" ht="30">
      <c r="B334" s="178" t="s">
        <v>527</v>
      </c>
      <c r="C334" s="167" t="s">
        <v>74</v>
      </c>
      <c r="D334" s="167" t="s">
        <v>528</v>
      </c>
      <c r="E334" s="167" t="s">
        <v>529</v>
      </c>
      <c r="F334" s="167" t="s">
        <v>1108</v>
      </c>
      <c r="G334" s="167" t="str">
        <f xml:space="preserve"> IF(F334=$C$13,"Ok","Les mêmes problèmes réapparaissent régulièrement sur les projets")</f>
        <v>Les mêmes problèmes réapparaissent régulièrement sur les projets</v>
      </c>
      <c r="H334" s="168" t="str">
        <f xml:space="preserve"> IF(F334=$C$13,"Ok à maintenir","Mettre en place un processus structuré de retour d'expérience (REX) et de capitalisation des connaissances")</f>
        <v>Mettre en place un processus structuré de retour d'expérience (REX) et de capitalisation des connaissances</v>
      </c>
      <c r="I334" s="180" t="s">
        <v>296</v>
      </c>
      <c r="J334" s="168" t="str">
        <f xml:space="preserve"> IF(F334=$C$13,"-","30jours")</f>
        <v>30jours</v>
      </c>
      <c r="K334" s="174" t="str">
        <f xml:space="preserve"> IF(F334=$C$13,"-","Ouverte")</f>
        <v>Ouverte</v>
      </c>
    </row>
    <row r="335" spans="2:11" ht="27">
      <c r="B335" s="175" t="s">
        <v>530</v>
      </c>
      <c r="C335" s="165"/>
      <c r="D335" s="165"/>
      <c r="E335" s="165"/>
      <c r="F335" s="165"/>
      <c r="G335" s="169"/>
      <c r="H335" s="170"/>
      <c r="I335" s="165"/>
      <c r="J335" s="170"/>
      <c r="K335" s="176"/>
    </row>
    <row r="336" spans="2:11">
      <c r="B336" s="21"/>
      <c r="C336" s="32"/>
      <c r="D336" s="32"/>
      <c r="E336" s="32"/>
      <c r="F336" s="32"/>
      <c r="G336" s="40"/>
      <c r="H336" s="29"/>
      <c r="I336" s="32"/>
      <c r="J336" s="29"/>
      <c r="K336" s="42"/>
    </row>
    <row r="337" spans="2:11" ht="22.5">
      <c r="B337" s="33" t="s">
        <v>531</v>
      </c>
      <c r="C337" s="32"/>
      <c r="D337" s="32"/>
      <c r="E337" s="32"/>
      <c r="F337" s="32"/>
      <c r="G337" s="40"/>
      <c r="H337" s="29"/>
      <c r="I337" s="32"/>
      <c r="J337" s="29"/>
      <c r="K337" s="42"/>
    </row>
    <row r="338" spans="2:11">
      <c r="B338" s="21"/>
      <c r="C338" s="32"/>
      <c r="D338" s="32"/>
      <c r="E338" s="32"/>
      <c r="F338" s="32"/>
      <c r="G338" s="40"/>
      <c r="H338" s="29"/>
      <c r="I338" s="32"/>
      <c r="J338" s="29"/>
      <c r="K338" s="42"/>
    </row>
    <row r="339" spans="2:11">
      <c r="B339" s="35" t="s">
        <v>38</v>
      </c>
      <c r="C339" s="36" t="s">
        <v>39</v>
      </c>
      <c r="D339" s="36" t="s">
        <v>13</v>
      </c>
      <c r="E339" s="36" t="s">
        <v>1128</v>
      </c>
      <c r="F339" s="36" t="s">
        <v>842</v>
      </c>
      <c r="G339" s="37" t="s">
        <v>11</v>
      </c>
      <c r="H339" s="37" t="s">
        <v>41</v>
      </c>
      <c r="I339" s="37" t="s">
        <v>42</v>
      </c>
      <c r="J339" s="37" t="s">
        <v>43</v>
      </c>
      <c r="K339" s="38" t="s">
        <v>44</v>
      </c>
    </row>
    <row r="340" spans="2:11" ht="30">
      <c r="B340" s="39" t="s">
        <v>532</v>
      </c>
      <c r="C340" s="40" t="s">
        <v>69</v>
      </c>
      <c r="D340" s="43" t="s">
        <v>885</v>
      </c>
      <c r="E340" s="43" t="s">
        <v>881</v>
      </c>
      <c r="F340" s="40" t="s">
        <v>1108</v>
      </c>
      <c r="G340" s="40" t="str">
        <f xml:space="preserve"> IF(F340=$C$13,"Ok","Aucun programme d'audit n'est formalisé.")</f>
        <v>Aucun programme d'audit n'est formalisé.</v>
      </c>
      <c r="H340" s="29" t="str">
        <f xml:space="preserve"> IF(F340=$C$13,"Ok à maintenir","Établir un programme annuel d'audit intégrant qualité, gestion des risques et innovation, etc.")</f>
        <v>Établir un programme annuel d'audit intégrant qualité, gestion des risques et innovation, etc.</v>
      </c>
      <c r="I340" s="51" t="s">
        <v>53</v>
      </c>
      <c r="J340" s="29" t="str">
        <f xml:space="preserve"> IF(F340=$C$13,"-","30jours")</f>
        <v>30jours</v>
      </c>
      <c r="K340" s="42" t="str">
        <f xml:space="preserve"> IF(F340=$C$13,"-","Ouverte")</f>
        <v>Ouverte</v>
      </c>
    </row>
    <row r="341" spans="2:11">
      <c r="B341" s="39" t="s">
        <v>533</v>
      </c>
      <c r="C341" s="40" t="s">
        <v>328</v>
      </c>
      <c r="D341" s="43" t="s">
        <v>883</v>
      </c>
      <c r="E341" s="43" t="s">
        <v>886</v>
      </c>
      <c r="F341" s="40" t="s">
        <v>1108</v>
      </c>
      <c r="G341" s="40" t="str">
        <f xml:space="preserve"> IF(F341=$C$13,"Ok","Certains processus critiques ne sont pas audités.")</f>
        <v>Certains processus critiques ne sont pas audités.</v>
      </c>
      <c r="H341" s="29" t="str">
        <f xml:space="preserve"> IF(F341=$C$13,"Ok à maintenir","Mettre à jour la cartographie des audits afin de couvrir l'ensemble des processus.")</f>
        <v>Mettre à jour la cartographie des audits afin de couvrir l'ensemble des processus.</v>
      </c>
      <c r="I341" s="51" t="s">
        <v>53</v>
      </c>
      <c r="J341" s="29" t="str">
        <f xml:space="preserve"> IF(F341=$C$13,"-","30jours")</f>
        <v>30jours</v>
      </c>
      <c r="K341" s="42" t="str">
        <f xml:space="preserve"> IF(F341=$C$13,"-","Ouverte")</f>
        <v>Ouverte</v>
      </c>
    </row>
    <row r="342" spans="2:11" ht="30">
      <c r="B342" s="39" t="s">
        <v>534</v>
      </c>
      <c r="C342" s="40" t="s">
        <v>328</v>
      </c>
      <c r="D342" s="43" t="s">
        <v>884</v>
      </c>
      <c r="E342" s="43" t="s">
        <v>887</v>
      </c>
      <c r="F342" s="40" t="s">
        <v>1108</v>
      </c>
      <c r="G342" s="40" t="str">
        <f xml:space="preserve"> IF(F342=$C$13,"Ok","L'indépendance et la compétence des auditeurs ne sont pas garanties.")</f>
        <v>L'indépendance et la compétence des auditeurs ne sont pas garanties.</v>
      </c>
      <c r="H342" s="29" t="str">
        <f xml:space="preserve"> IF(F342=$C$13,"Ok à maintenir","Former des auditeurs internes qualifiés aux référentiels ISO 9001 et ISO 56001.")</f>
        <v>Former des auditeurs internes qualifiés aux référentiels ISO 9001 et ISO 56001.</v>
      </c>
      <c r="I342" s="51" t="s">
        <v>53</v>
      </c>
      <c r="J342" s="29" t="str">
        <f xml:space="preserve"> IF(F342=$C$13,"-","30jours")</f>
        <v>30jours</v>
      </c>
      <c r="K342" s="42" t="str">
        <f xml:space="preserve"> IF(F342=$C$13,"-","Ouverte")</f>
        <v>Ouverte</v>
      </c>
    </row>
    <row r="343" spans="2:11" ht="30">
      <c r="B343" s="39" t="s">
        <v>535</v>
      </c>
      <c r="C343" s="40" t="s">
        <v>536</v>
      </c>
      <c r="D343" s="43" t="s">
        <v>882</v>
      </c>
      <c r="E343" s="43" t="s">
        <v>888</v>
      </c>
      <c r="F343" s="40" t="s">
        <v>1108</v>
      </c>
      <c r="G343" s="40" t="str">
        <f xml:space="preserve"> IF(F343=$C$13,"Ok","Les audits sont réalisés sans référentiel formel")</f>
        <v>Les audits sont réalisés sans référentiel formel</v>
      </c>
      <c r="H343" s="29" t="str">
        <f xml:space="preserve"> IF(F343=$C$13,"Ok à maintenir","Définir des grilles d'audit intégrant les exigences qualité, innovation et amélioration continue.")</f>
        <v>Définir des grilles d'audit intégrant les exigences qualité, innovation et amélioration continue.</v>
      </c>
      <c r="I343" s="48" t="s">
        <v>537</v>
      </c>
      <c r="J343" s="29" t="str">
        <f xml:space="preserve"> IF(F343=$C$13,"-","30jours")</f>
        <v>30jours</v>
      </c>
      <c r="K343" s="42" t="str">
        <f xml:space="preserve"> IF(F343=$C$13,"-","Ouverte")</f>
        <v>Ouverte</v>
      </c>
    </row>
    <row r="344" spans="2:11" ht="22.5">
      <c r="B344" s="33" t="s">
        <v>538</v>
      </c>
      <c r="C344" s="32"/>
      <c r="D344" s="32"/>
      <c r="E344" s="32"/>
      <c r="F344" s="32"/>
      <c r="G344" s="40"/>
      <c r="H344" s="29"/>
      <c r="I344" s="32"/>
      <c r="J344" s="29"/>
      <c r="K344" s="42"/>
    </row>
    <row r="345" spans="2:11">
      <c r="B345" s="21"/>
      <c r="C345" s="32"/>
      <c r="D345" s="32"/>
      <c r="E345" s="32"/>
      <c r="F345" s="32"/>
      <c r="G345" s="40"/>
      <c r="H345" s="29"/>
      <c r="I345" s="32"/>
      <c r="J345" s="29"/>
      <c r="K345" s="42"/>
    </row>
    <row r="346" spans="2:11">
      <c r="B346" s="35" t="s">
        <v>38</v>
      </c>
      <c r="C346" s="36" t="s">
        <v>39</v>
      </c>
      <c r="D346" s="36" t="s">
        <v>13</v>
      </c>
      <c r="E346" s="36" t="s">
        <v>1128</v>
      </c>
      <c r="F346" s="36" t="s">
        <v>842</v>
      </c>
      <c r="G346" s="37" t="s">
        <v>11</v>
      </c>
      <c r="H346" s="37" t="s">
        <v>41</v>
      </c>
      <c r="I346" s="37" t="s">
        <v>42</v>
      </c>
      <c r="J346" s="37" t="s">
        <v>43</v>
      </c>
      <c r="K346" s="38" t="s">
        <v>44</v>
      </c>
    </row>
    <row r="347" spans="2:11" ht="30">
      <c r="B347" s="39" t="s">
        <v>539</v>
      </c>
      <c r="C347" s="40" t="s">
        <v>328</v>
      </c>
      <c r="D347" s="43" t="s">
        <v>889</v>
      </c>
      <c r="E347" s="43" t="s">
        <v>890</v>
      </c>
      <c r="F347" s="40" t="s">
        <v>1108</v>
      </c>
      <c r="G347" s="40" t="str">
        <f xml:space="preserve"> IF(F347=$C$13,"Ok","Les programmes sont identiques quels que soient les risques")</f>
        <v>Les programmes sont identiques quels que soient les risques</v>
      </c>
      <c r="H347" s="29" t="str">
        <f xml:space="preserve"> IF(F347=$C$13,"Ok à maintenir","Mettre en œuvre une planification des audits basée sur les risques et opportunités")</f>
        <v>Mettre en œuvre une planification des audits basée sur les risques et opportunités</v>
      </c>
      <c r="I347" s="51" t="s">
        <v>53</v>
      </c>
      <c r="J347" s="29" t="str">
        <f xml:space="preserve"> IF(F347=$C$13,"-","30jours")</f>
        <v>30jours</v>
      </c>
      <c r="K347" s="42" t="str">
        <f xml:space="preserve"> IF(F347=$C$13,"-","Ouverte")</f>
        <v>Ouverte</v>
      </c>
    </row>
    <row r="348" spans="2:11" ht="30">
      <c r="B348" s="47" t="s">
        <v>540</v>
      </c>
      <c r="C348" s="40" t="s">
        <v>328</v>
      </c>
      <c r="D348" s="43" t="s">
        <v>891</v>
      </c>
      <c r="E348" s="43" t="s">
        <v>892</v>
      </c>
      <c r="F348" s="40" t="s">
        <v>1108</v>
      </c>
      <c r="G348" s="40" t="str">
        <f xml:space="preserve"> IF(F348=$C$13,"Ok","Les rapports ne sont pas diffusés aux parties concernées")</f>
        <v>Les rapports ne sont pas diffusés aux parties concernées</v>
      </c>
      <c r="H348" s="29" t="str">
        <f xml:space="preserve"> IF(F348=$C$13,"Ok à maintenir","Assurer le partage des résultats et des bonnes pratiques")</f>
        <v>Assurer le partage des résultats et des bonnes pratiques</v>
      </c>
      <c r="I348" s="48" t="s">
        <v>53</v>
      </c>
      <c r="J348" s="29" t="str">
        <f xml:space="preserve"> IF(F348=$C$13,"-","30jours")</f>
        <v>30jours</v>
      </c>
      <c r="K348" s="42" t="str">
        <f xml:space="preserve"> IF(F348=$C$13,"-","Ouverte")</f>
        <v>Ouverte</v>
      </c>
    </row>
    <row r="349" spans="2:11" ht="30">
      <c r="B349" s="92" t="s">
        <v>541</v>
      </c>
      <c r="C349" s="167" t="s">
        <v>106</v>
      </c>
      <c r="D349" s="93" t="s">
        <v>893</v>
      </c>
      <c r="E349" s="93" t="s">
        <v>894</v>
      </c>
      <c r="F349" s="167" t="s">
        <v>1108</v>
      </c>
      <c r="G349" s="167" t="str">
        <f xml:space="preserve"> IF(F349=$C$13,"Ok","Les actions correctives ne sont pas clôturées formellement")</f>
        <v>Les actions correctives ne sont pas clôturées formellement</v>
      </c>
      <c r="H349" s="168" t="str">
        <f xml:space="preserve"> IF(F349=$C$13,"Ok à maintenir","Mettre en place un système de suivi des actions")</f>
        <v>Mettre en place un système de suivi des actions</v>
      </c>
      <c r="I349" s="180" t="s">
        <v>109</v>
      </c>
      <c r="J349" s="168" t="str">
        <f xml:space="preserve"> IF(F349=$C$13,"-","30jours")</f>
        <v>30jours</v>
      </c>
      <c r="K349" s="174" t="str">
        <f xml:space="preserve"> IF(F349=$C$13,"-","Ouverte")</f>
        <v>Ouverte</v>
      </c>
    </row>
    <row r="350" spans="2:11" ht="27">
      <c r="B350" s="34" t="s">
        <v>542</v>
      </c>
      <c r="C350" s="32"/>
      <c r="D350" s="32"/>
      <c r="E350" s="32"/>
      <c r="F350" s="32"/>
      <c r="G350" s="40"/>
      <c r="H350" s="29"/>
      <c r="I350" s="32"/>
      <c r="J350" s="29"/>
      <c r="K350" s="42"/>
    </row>
    <row r="351" spans="2:11">
      <c r="B351" s="21"/>
      <c r="C351" s="32"/>
      <c r="D351" s="32"/>
      <c r="E351" s="32"/>
      <c r="F351" s="32"/>
      <c r="G351" s="40"/>
      <c r="H351" s="29"/>
      <c r="I351" s="32"/>
      <c r="J351" s="29"/>
      <c r="K351" s="42"/>
    </row>
    <row r="352" spans="2:11" ht="22.5">
      <c r="B352" s="33" t="s">
        <v>543</v>
      </c>
      <c r="C352" s="32"/>
      <c r="D352" s="32"/>
      <c r="E352" s="32"/>
      <c r="F352" s="32"/>
      <c r="G352" s="40"/>
      <c r="H352" s="29"/>
      <c r="I352" s="32"/>
      <c r="J352" s="29"/>
      <c r="K352" s="42"/>
    </row>
    <row r="353" spans="2:11">
      <c r="B353" s="21"/>
      <c r="C353" s="32"/>
      <c r="D353" s="32"/>
      <c r="E353" s="32"/>
      <c r="F353" s="32"/>
      <c r="G353" s="40"/>
      <c r="H353" s="29"/>
      <c r="I353" s="32"/>
      <c r="J353" s="29"/>
      <c r="K353" s="42"/>
    </row>
    <row r="354" spans="2:11">
      <c r="B354" s="35" t="s">
        <v>38</v>
      </c>
      <c r="C354" s="36" t="s">
        <v>39</v>
      </c>
      <c r="D354" s="36" t="s">
        <v>13</v>
      </c>
      <c r="E354" s="36" t="s">
        <v>1128</v>
      </c>
      <c r="F354" s="36" t="s">
        <v>842</v>
      </c>
      <c r="G354" s="37" t="s">
        <v>11</v>
      </c>
      <c r="H354" s="37" t="s">
        <v>41</v>
      </c>
      <c r="I354" s="37" t="s">
        <v>42</v>
      </c>
      <c r="J354" s="37" t="s">
        <v>43</v>
      </c>
      <c r="K354" s="38" t="s">
        <v>44</v>
      </c>
    </row>
    <row r="355" spans="2:11" ht="30">
      <c r="B355" s="47" t="s">
        <v>898</v>
      </c>
      <c r="C355" s="40" t="s">
        <v>46</v>
      </c>
      <c r="D355" s="43" t="s">
        <v>896</v>
      </c>
      <c r="E355" s="43" t="s">
        <v>895</v>
      </c>
      <c r="F355" s="40" t="s">
        <v>1108</v>
      </c>
      <c r="G355" s="40" t="str">
        <f xml:space="preserve"> IF(F355=$C$13,"Ok","Aucune revue de direction n'est organisée")</f>
        <v>Aucune revue de direction n'est organisée</v>
      </c>
      <c r="H355" s="29" t="str">
        <f xml:space="preserve"> IF(F355=$C$13,"Ok à maintenir","Planifier des revues de direction intégrant qualité, innovation, risques et performance")</f>
        <v>Planifier des revues de direction intégrant qualité, innovation, risques et performance</v>
      </c>
      <c r="I355" s="51" t="s">
        <v>62</v>
      </c>
      <c r="J355" s="29" t="str">
        <f xml:space="preserve"> IF(F355=$C$13,"-","30jours")</f>
        <v>30jours</v>
      </c>
      <c r="K355" s="42" t="str">
        <f xml:space="preserve"> IF(F355=$C$13,"-","Ouverte")</f>
        <v>Ouverte</v>
      </c>
    </row>
    <row r="356" spans="2:11" ht="30">
      <c r="B356" s="47" t="s">
        <v>897</v>
      </c>
      <c r="C356" s="40" t="s">
        <v>46</v>
      </c>
      <c r="D356" s="43" t="s">
        <v>900</v>
      </c>
      <c r="E356" s="43" t="s">
        <v>899</v>
      </c>
      <c r="F356" s="40" t="s">
        <v>1108</v>
      </c>
      <c r="G356" s="40" t="str">
        <f xml:space="preserve"> IF(F356=$C$13,"Ok","Les réunions réalisées ne permettent pas d'évaluer le système de management")</f>
        <v>Les réunions réalisées ne permettent pas d'évaluer le système de management</v>
      </c>
      <c r="H356" s="29" t="str">
        <f xml:space="preserve"> IF(F356=$C$13,"Ok à maintenir","Structurer les revues autour d'indicateurs de performance et de création de valeur")</f>
        <v>Structurer les revues autour d'indicateurs de performance et de création de valeur</v>
      </c>
      <c r="I356" s="51" t="s">
        <v>62</v>
      </c>
      <c r="J356" s="29" t="str">
        <f xml:space="preserve"> IF(F356=$C$13,"-","30jours")</f>
        <v>30jours</v>
      </c>
      <c r="K356" s="42" t="str">
        <f xml:space="preserve"> IF(F356=$C$13,"-","Ouverte")</f>
        <v>Ouverte</v>
      </c>
    </row>
    <row r="357" spans="2:11" ht="22.5">
      <c r="B357" s="33" t="s">
        <v>544</v>
      </c>
      <c r="C357" s="32"/>
      <c r="D357" s="32"/>
      <c r="E357" s="32"/>
      <c r="F357" s="32"/>
      <c r="G357" s="40"/>
      <c r="H357" s="29"/>
      <c r="I357" s="32"/>
      <c r="J357" s="29"/>
      <c r="K357" s="42"/>
    </row>
    <row r="358" spans="2:11">
      <c r="B358" s="21"/>
      <c r="C358" s="32"/>
      <c r="D358" s="32"/>
      <c r="E358" s="32"/>
      <c r="F358" s="32"/>
      <c r="G358" s="40"/>
      <c r="H358" s="29"/>
      <c r="I358" s="32"/>
      <c r="J358" s="29"/>
      <c r="K358" s="42"/>
    </row>
    <row r="359" spans="2:11">
      <c r="B359" s="35" t="s">
        <v>38</v>
      </c>
      <c r="C359" s="36" t="s">
        <v>39</v>
      </c>
      <c r="D359" s="36" t="s">
        <v>13</v>
      </c>
      <c r="E359" s="36" t="s">
        <v>1128</v>
      </c>
      <c r="F359" s="36" t="s">
        <v>842</v>
      </c>
      <c r="G359" s="37" t="s">
        <v>11</v>
      </c>
      <c r="H359" s="37" t="s">
        <v>41</v>
      </c>
      <c r="I359" s="37" t="s">
        <v>42</v>
      </c>
      <c r="J359" s="37" t="s">
        <v>43</v>
      </c>
      <c r="K359" s="38" t="s">
        <v>44</v>
      </c>
    </row>
    <row r="360" spans="2:11">
      <c r="B360" s="47" t="s">
        <v>901</v>
      </c>
      <c r="C360" s="40" t="s">
        <v>46</v>
      </c>
      <c r="D360" s="43" t="s">
        <v>902</v>
      </c>
      <c r="E360" s="43" t="s">
        <v>903</v>
      </c>
      <c r="F360" s="40" t="s">
        <v>1108</v>
      </c>
      <c r="G360" s="40" t="str">
        <f xml:space="preserve"> IF(F360=$C$13,"Ok","Les résultats d'audit ne sont pas examinés")</f>
        <v>Les résultats d'audit ne sont pas examinés</v>
      </c>
      <c r="H360" s="29" t="str">
        <f xml:space="preserve"> IF(F360=$C$13,"Ok à maintenir","Intégrer systématiquement les résultats d'audit dans les revues stratégiques")</f>
        <v>Intégrer systématiquement les résultats d'audit dans les revues stratégiques</v>
      </c>
      <c r="I360" s="51" t="s">
        <v>46</v>
      </c>
      <c r="J360" s="29" t="str">
        <f xml:space="preserve"> IF(F360=$C$13,"-","30jours")</f>
        <v>30jours</v>
      </c>
      <c r="K360" s="42" t="str">
        <f xml:space="preserve"> IF(F360=$C$13,"-","Ouverte")</f>
        <v>Ouverte</v>
      </c>
    </row>
    <row r="361" spans="2:11" ht="30">
      <c r="B361" s="47" t="s">
        <v>904</v>
      </c>
      <c r="C361" s="40" t="s">
        <v>46</v>
      </c>
      <c r="D361" s="43" t="s">
        <v>905</v>
      </c>
      <c r="E361" s="43" t="s">
        <v>906</v>
      </c>
      <c r="F361" s="40" t="s">
        <v>1108</v>
      </c>
      <c r="G361" s="40" t="str">
        <f xml:space="preserve"> IF(F361=$C$13,"Ok","Les retours clients ne sont pas présentés à la direction")</f>
        <v>Les retours clients ne sont pas présentés à la direction</v>
      </c>
      <c r="H361" s="29" t="str">
        <f xml:space="preserve"> IF(F361=$C$13,"Ok à maintenir","Présenter périodiquement les analyses de satisfaction et les attentes émergentes des clients")</f>
        <v>Présenter périodiquement les analyses de satisfaction et les attentes émergentes des clients</v>
      </c>
      <c r="I361" s="51" t="s">
        <v>46</v>
      </c>
      <c r="J361" s="29" t="str">
        <f xml:space="preserve"> IF(F361=$C$13,"-","30jours")</f>
        <v>30jours</v>
      </c>
      <c r="K361" s="42" t="str">
        <f xml:space="preserve"> IF(F361=$C$13,"-","Ouverte")</f>
        <v>Ouverte</v>
      </c>
    </row>
    <row r="362" spans="2:11" ht="30">
      <c r="B362" s="47" t="s">
        <v>907</v>
      </c>
      <c r="C362" s="40" t="s">
        <v>97</v>
      </c>
      <c r="D362" s="43" t="s">
        <v>908</v>
      </c>
      <c r="E362" s="43" t="s">
        <v>909</v>
      </c>
      <c r="F362" s="40" t="s">
        <v>1108</v>
      </c>
      <c r="G362" s="40" t="str">
        <f xml:space="preserve"> IF(F362=$C$13,"Ok","Aucun indicateur n'est disponible")</f>
        <v>Aucun indicateur n'est disponible</v>
      </c>
      <c r="H362" s="29" t="str">
        <f xml:space="preserve"> IF(F362=$C$13,"Ok à maintenir","Déployer des tableaux de bord dynamiques permettant le pilotage des performances")</f>
        <v>Déployer des tableaux de bord dynamiques permettant le pilotage des performances</v>
      </c>
      <c r="I362" s="51" t="s">
        <v>53</v>
      </c>
      <c r="J362" s="29" t="str">
        <f xml:space="preserve"> IF(F362=$C$13,"-","30jours")</f>
        <v>30jours</v>
      </c>
      <c r="K362" s="42" t="str">
        <f xml:space="preserve"> IF(F362=$C$13,"-","Ouverte")</f>
        <v>Ouverte</v>
      </c>
    </row>
    <row r="363" spans="2:11">
      <c r="B363" s="47" t="s">
        <v>912</v>
      </c>
      <c r="C363" s="40" t="s">
        <v>46</v>
      </c>
      <c r="D363" s="43" t="s">
        <v>910</v>
      </c>
      <c r="E363" s="43" t="s">
        <v>911</v>
      </c>
      <c r="F363" s="40" t="s">
        <v>1108</v>
      </c>
      <c r="G363" s="40" t="str">
        <f xml:space="preserve"> IF(F363=$C$13,"Ok","L'analyse des risques n'est pas actualisée")</f>
        <v>L'analyse des risques n'est pas actualisée</v>
      </c>
      <c r="H363" s="29" t="str">
        <f xml:space="preserve"> IF(F363=$C$13,"Ok à maintenir","Organiser une revue périodique des risques et opportunités")</f>
        <v>Organiser une revue périodique des risques et opportunités</v>
      </c>
      <c r="I363" s="51" t="s">
        <v>46</v>
      </c>
      <c r="J363" s="29" t="str">
        <f xml:space="preserve"> IF(F363=$C$13,"-","30jours")</f>
        <v>30jours</v>
      </c>
      <c r="K363" s="42" t="str">
        <f xml:space="preserve"> IF(F363=$C$13,"-","Ouverte")</f>
        <v>Ouverte</v>
      </c>
    </row>
    <row r="364" spans="2:11" ht="30">
      <c r="B364" s="47" t="s">
        <v>913</v>
      </c>
      <c r="C364" s="40" t="s">
        <v>46</v>
      </c>
      <c r="D364" s="43" t="s">
        <v>914</v>
      </c>
      <c r="E364" s="43" t="s">
        <v>915</v>
      </c>
      <c r="F364" s="40" t="s">
        <v>1108</v>
      </c>
      <c r="G364" s="40" t="str">
        <f xml:space="preserve"> IF(F364=$C$13,"Ok","Manque d'évaluation des ressources par conséquence aucune décision.")</f>
        <v>Manque d'évaluation des ressources par conséquence aucune décision.</v>
      </c>
      <c r="H364" s="29" t="str">
        <f xml:space="preserve"> IF(F364=$C$13,"Ok à maintenir","Mettre en place une revue prospective des besoins en ressources et compétences")</f>
        <v>Mettre en place une revue prospective des besoins en ressources et compétences</v>
      </c>
      <c r="I364" s="51" t="s">
        <v>46</v>
      </c>
      <c r="J364" s="29" t="str">
        <f xml:space="preserve"> IF(F364=$C$13,"-","30jours")</f>
        <v>30jours</v>
      </c>
      <c r="K364" s="42" t="str">
        <f xml:space="preserve"> IF(F364=$C$13,"-","Ouverte")</f>
        <v>Ouverte</v>
      </c>
    </row>
    <row r="365" spans="2:11" ht="22.5">
      <c r="B365" s="33" t="s">
        <v>545</v>
      </c>
      <c r="C365" s="32"/>
      <c r="D365" s="32"/>
      <c r="E365" s="32"/>
      <c r="F365" s="32"/>
      <c r="G365" s="40"/>
      <c r="H365" s="29"/>
      <c r="I365" s="32"/>
      <c r="J365" s="29"/>
      <c r="K365" s="42"/>
    </row>
    <row r="366" spans="2:11">
      <c r="B366" s="21"/>
      <c r="C366" s="32"/>
      <c r="D366" s="32"/>
      <c r="E366" s="32"/>
      <c r="F366" s="32"/>
      <c r="G366" s="40"/>
      <c r="H366" s="29"/>
      <c r="I366" s="32"/>
      <c r="J366" s="29"/>
      <c r="K366" s="42"/>
    </row>
    <row r="367" spans="2:11">
      <c r="B367" s="35" t="s">
        <v>38</v>
      </c>
      <c r="C367" s="36" t="s">
        <v>39</v>
      </c>
      <c r="D367" s="36" t="s">
        <v>13</v>
      </c>
      <c r="E367" s="36" t="s">
        <v>1128</v>
      </c>
      <c r="F367" s="36" t="s">
        <v>842</v>
      </c>
      <c r="G367" s="37" t="s">
        <v>11</v>
      </c>
      <c r="H367" s="37" t="s">
        <v>41</v>
      </c>
      <c r="I367" s="37" t="s">
        <v>42</v>
      </c>
      <c r="J367" s="37" t="s">
        <v>43</v>
      </c>
      <c r="K367" s="38" t="s">
        <v>44</v>
      </c>
    </row>
    <row r="368" spans="2:11" ht="30">
      <c r="B368" s="47" t="s">
        <v>916</v>
      </c>
      <c r="C368" s="40" t="s">
        <v>328</v>
      </c>
      <c r="D368" s="40" t="s">
        <v>321</v>
      </c>
      <c r="E368" s="40" t="s">
        <v>546</v>
      </c>
      <c r="F368" s="40" t="s">
        <v>1108</v>
      </c>
      <c r="G368" s="40" t="str">
        <f xml:space="preserve"> IF(F368=$C$13,"Ok","Aucune preuve des décisions prises n'est disponible")</f>
        <v>Aucune preuve des décisions prises n'est disponible</v>
      </c>
      <c r="H368" s="29" t="str">
        <f xml:space="preserve"> IF(F368=$C$13,"Ok à maintenir","Formaliser les comptes rendus et assurer leur traçabilité dans le système documentaire")</f>
        <v>Formaliser les comptes rendus et assurer leur traçabilité dans le système documentaire</v>
      </c>
      <c r="I368" s="51" t="s">
        <v>53</v>
      </c>
      <c r="J368" s="29" t="str">
        <f xml:space="preserve"> IF(F368=$C$13,"-","30jours")</f>
        <v>30jours</v>
      </c>
      <c r="K368" s="42" t="str">
        <f xml:space="preserve"> IF(F368=$C$13,"-","Ouverte")</f>
        <v>Ouverte</v>
      </c>
    </row>
    <row r="369" spans="2:11" ht="30">
      <c r="B369" s="47" t="s">
        <v>917</v>
      </c>
      <c r="C369" s="40" t="s">
        <v>46</v>
      </c>
      <c r="D369" s="43" t="s">
        <v>547</v>
      </c>
      <c r="E369" s="43" t="s">
        <v>918</v>
      </c>
      <c r="F369" s="40" t="s">
        <v>1108</v>
      </c>
      <c r="G369" s="40" t="str">
        <f xml:space="preserve"> IF(F369=$C$13,"Ok","Les décisions ne comportent ni responsable ni échéance")</f>
        <v>Les décisions ne comportent ni responsable ni échéance</v>
      </c>
      <c r="H369" s="29" t="str">
        <f xml:space="preserve"> IF(F369=$C$13,"Ok à maintenir","Déployer un plan d'actions  avec responsables, délais et indicateurs de suivi")</f>
        <v>Déployer un plan d'actions  avec responsables, délais et indicateurs de suivi</v>
      </c>
      <c r="I369" s="51" t="s">
        <v>46</v>
      </c>
      <c r="J369" s="29" t="str">
        <f xml:space="preserve"> IF(F369=$C$13,"-","30jours")</f>
        <v>30jours</v>
      </c>
      <c r="K369" s="42" t="str">
        <f xml:space="preserve"> IF(F369=$C$13,"-","Ouverte")</f>
        <v>Ouverte</v>
      </c>
    </row>
    <row r="370" spans="2:11" ht="30.75" thickBot="1">
      <c r="B370" s="52" t="s">
        <v>919</v>
      </c>
      <c r="C370" s="53" t="s">
        <v>46</v>
      </c>
      <c r="D370" s="54" t="s">
        <v>920</v>
      </c>
      <c r="E370" s="55" t="s">
        <v>921</v>
      </c>
      <c r="F370" s="53" t="s">
        <v>1108</v>
      </c>
      <c r="G370" s="53" t="str">
        <f xml:space="preserve"> IF(F370=$C$13,"Ok","Aucun plan d'amélioration n'est défini")</f>
        <v>Aucun plan d'amélioration n'est défini</v>
      </c>
      <c r="H370" s="158" t="str">
        <f xml:space="preserve"> IF(F370=$C$13,"Ok à maintenir","Élaborer une feuille de route d'amélioration et d'innovation issue des revues de direction")</f>
        <v>Élaborer une feuille de route d'amélioration et d'innovation issue des revues de direction</v>
      </c>
      <c r="I370" s="159" t="s">
        <v>62</v>
      </c>
      <c r="J370" s="158" t="str">
        <f xml:space="preserve"> IF(F370=$C$13,"-","30jours")</f>
        <v>30jours</v>
      </c>
      <c r="K370" s="160" t="str">
        <f xml:space="preserve"> IF(F370=$C$13,"-","Ouverte")</f>
        <v>Ouverte</v>
      </c>
    </row>
    <row r="371" spans="2:11" ht="30">
      <c r="B371" s="62" t="s">
        <v>548</v>
      </c>
      <c r="C371" s="30"/>
      <c r="D371" s="30"/>
      <c r="E371" s="30"/>
      <c r="F371" s="30"/>
      <c r="G371" s="155"/>
      <c r="H371" s="156"/>
      <c r="I371" s="30"/>
      <c r="J371" s="156"/>
      <c r="K371" s="157"/>
    </row>
    <row r="372" spans="2:11">
      <c r="B372" s="21"/>
      <c r="C372" s="32"/>
      <c r="D372" s="32"/>
      <c r="E372" s="32"/>
      <c r="F372" s="32"/>
      <c r="G372" s="40"/>
      <c r="H372" s="29"/>
      <c r="I372" s="32"/>
      <c r="J372" s="29"/>
      <c r="K372" s="42"/>
    </row>
    <row r="373" spans="2:11">
      <c r="B373" s="21"/>
      <c r="C373" s="32"/>
      <c r="D373" s="32"/>
      <c r="E373" s="32"/>
      <c r="F373" s="32"/>
      <c r="G373" s="40"/>
      <c r="H373" s="29"/>
      <c r="I373" s="32"/>
      <c r="J373" s="29"/>
      <c r="K373" s="42"/>
    </row>
    <row r="374" spans="2:11" ht="27">
      <c r="B374" s="175" t="s">
        <v>549</v>
      </c>
      <c r="C374" s="165"/>
      <c r="D374" s="165"/>
      <c r="E374" s="165"/>
      <c r="F374" s="165"/>
      <c r="G374" s="169"/>
      <c r="H374" s="170"/>
      <c r="I374" s="165"/>
      <c r="J374" s="170"/>
      <c r="K374" s="176"/>
    </row>
    <row r="375" spans="2:11">
      <c r="B375" s="21"/>
      <c r="C375" s="32"/>
      <c r="D375" s="32"/>
      <c r="E375" s="32"/>
      <c r="F375" s="32"/>
      <c r="G375" s="40"/>
      <c r="H375" s="29"/>
      <c r="I375" s="32"/>
      <c r="J375" s="29"/>
      <c r="K375" s="42"/>
    </row>
    <row r="376" spans="2:11">
      <c r="B376" s="35" t="s">
        <v>38</v>
      </c>
      <c r="C376" s="36" t="s">
        <v>39</v>
      </c>
      <c r="D376" s="36" t="s">
        <v>13</v>
      </c>
      <c r="E376" s="36" t="s">
        <v>1128</v>
      </c>
      <c r="F376" s="36" t="s">
        <v>842</v>
      </c>
      <c r="G376" s="37" t="s">
        <v>11</v>
      </c>
      <c r="H376" s="37" t="s">
        <v>41</v>
      </c>
      <c r="I376" s="37" t="s">
        <v>42</v>
      </c>
      <c r="J376" s="37" t="s">
        <v>43</v>
      </c>
      <c r="K376" s="38" t="s">
        <v>44</v>
      </c>
    </row>
    <row r="377" spans="2:11" ht="30">
      <c r="B377" s="47" t="s">
        <v>922</v>
      </c>
      <c r="C377" s="40" t="s">
        <v>46</v>
      </c>
      <c r="D377" s="43" t="s">
        <v>924</v>
      </c>
      <c r="E377" s="43" t="s">
        <v>927</v>
      </c>
      <c r="F377" s="40" t="s">
        <v>1108</v>
      </c>
      <c r="G377" s="40" t="str">
        <f xml:space="preserve"> IF(F377=$C$13,"Ok","Aucune démarche structurée d'amélioration n'est démontrée")</f>
        <v>Aucune démarche structurée d'amélioration n'est démontrée</v>
      </c>
      <c r="H377" s="29" t="str">
        <f xml:space="preserve"> IF(F377=$C$13,"Ok à maintenir","Déployer un programme d'amélioration continue.")</f>
        <v>Déployer un programme d'amélioration continue.</v>
      </c>
      <c r="I377" s="51" t="s">
        <v>46</v>
      </c>
      <c r="J377" s="29" t="str">
        <f xml:space="preserve"> IF(F377=$C$13,"-","30jours")</f>
        <v>30jours</v>
      </c>
      <c r="K377" s="42" t="str">
        <f xml:space="preserve"> IF(F377=$C$13,"-","Ouverte")</f>
        <v>Ouverte</v>
      </c>
    </row>
    <row r="378" spans="2:11" ht="30">
      <c r="B378" s="92" t="s">
        <v>923</v>
      </c>
      <c r="C378" s="167" t="s">
        <v>106</v>
      </c>
      <c r="D378" s="93" t="s">
        <v>925</v>
      </c>
      <c r="E378" s="93" t="s">
        <v>926</v>
      </c>
      <c r="F378" s="167" t="s">
        <v>1108</v>
      </c>
      <c r="G378" s="167" t="str">
        <f xml:space="preserve"> IF(F378=$C$13,"Ok","Les actions sont uniquement réactives face aux problèmes")</f>
        <v>Les actions sont uniquement réactives face aux problèmes</v>
      </c>
      <c r="H378" s="168" t="str">
        <f xml:space="preserve"> IF(F378=$C$13,"Ok à maintenir","Mettre en place un processus de détection des opportunités d'amélioration et d'innovation")</f>
        <v>Mettre en place un processus de détection des opportunités d'amélioration et d'innovation</v>
      </c>
      <c r="I378" s="180" t="s">
        <v>109</v>
      </c>
      <c r="J378" s="168" t="str">
        <f xml:space="preserve"> IF(F378=$C$13,"-","30jours")</f>
        <v>30jours</v>
      </c>
      <c r="K378" s="174" t="str">
        <f xml:space="preserve"> IF(F378=$C$13,"-","Ouverte")</f>
        <v>Ouverte</v>
      </c>
    </row>
    <row r="379" spans="2:11" ht="27">
      <c r="B379" s="175" t="s">
        <v>550</v>
      </c>
      <c r="C379" s="165"/>
      <c r="D379" s="165"/>
      <c r="E379" s="165"/>
      <c r="F379" s="165"/>
      <c r="G379" s="169"/>
      <c r="H379" s="170"/>
      <c r="I379" s="165"/>
      <c r="J379" s="170"/>
      <c r="K379" s="176"/>
    </row>
    <row r="380" spans="2:11">
      <c r="B380" s="21"/>
      <c r="C380" s="32"/>
      <c r="D380" s="32"/>
      <c r="E380" s="32"/>
      <c r="F380" s="32"/>
      <c r="G380" s="40"/>
      <c r="H380" s="29"/>
      <c r="I380" s="32"/>
      <c r="J380" s="29"/>
      <c r="K380" s="42"/>
    </row>
    <row r="381" spans="2:11" ht="22.5">
      <c r="B381" s="33" t="s">
        <v>551</v>
      </c>
      <c r="C381" s="32"/>
      <c r="D381" s="32"/>
      <c r="E381" s="32"/>
      <c r="F381" s="32"/>
      <c r="G381" s="40"/>
      <c r="H381" s="29"/>
      <c r="I381" s="32"/>
      <c r="J381" s="29"/>
      <c r="K381" s="42"/>
    </row>
    <row r="382" spans="2:11">
      <c r="B382" s="21"/>
      <c r="C382" s="32"/>
      <c r="D382" s="32"/>
      <c r="E382" s="32"/>
      <c r="F382" s="32"/>
      <c r="G382" s="40"/>
      <c r="H382" s="29"/>
      <c r="I382" s="32"/>
      <c r="J382" s="29"/>
      <c r="K382" s="42"/>
    </row>
    <row r="383" spans="2:11">
      <c r="B383" s="35" t="s">
        <v>38</v>
      </c>
      <c r="C383" s="36" t="s">
        <v>39</v>
      </c>
      <c r="D383" s="36" t="s">
        <v>13</v>
      </c>
      <c r="E383" s="36" t="s">
        <v>1128</v>
      </c>
      <c r="F383" s="36" t="s">
        <v>842</v>
      </c>
      <c r="G383" s="37" t="s">
        <v>11</v>
      </c>
      <c r="H383" s="37" t="s">
        <v>41</v>
      </c>
      <c r="I383" s="37" t="s">
        <v>42</v>
      </c>
      <c r="J383" s="37" t="s">
        <v>43</v>
      </c>
      <c r="K383" s="38" t="s">
        <v>44</v>
      </c>
    </row>
    <row r="384" spans="2:11" ht="30">
      <c r="B384" s="39" t="s">
        <v>552</v>
      </c>
      <c r="C384" s="40" t="s">
        <v>328</v>
      </c>
      <c r="D384" s="43" t="s">
        <v>928</v>
      </c>
      <c r="E384" s="43" t="s">
        <v>929</v>
      </c>
      <c r="F384" s="40" t="s">
        <v>1108</v>
      </c>
      <c r="G384" s="40" t="str">
        <f xml:space="preserve"> IF(F384=$C$13,"Ok","Les erreurs sont corrigées sans enregistrement")</f>
        <v>Les erreurs sont corrigées sans enregistrement</v>
      </c>
      <c r="H384" s="29" t="str">
        <f xml:space="preserve"> IF(F384=$C$13,"Ok à maintenir","Déployer des enregistrements de gestion des non-conformités et des enseignements associés.")</f>
        <v>Déployer des enregistrements de gestion des non-conformités et des enseignements associés.</v>
      </c>
      <c r="I384" s="51" t="s">
        <v>53</v>
      </c>
      <c r="J384" s="29" t="str">
        <f xml:space="preserve"> IF(F384=$C$13,"-","30jours")</f>
        <v>30jours</v>
      </c>
      <c r="K384" s="42" t="str">
        <f xml:space="preserve"> IF(F384=$C$13,"-","Ouverte")</f>
        <v>Ouverte</v>
      </c>
    </row>
    <row r="385" spans="2:11" ht="30">
      <c r="B385" s="39" t="s">
        <v>553</v>
      </c>
      <c r="C385" s="40" t="s">
        <v>74</v>
      </c>
      <c r="D385" s="43" t="s">
        <v>930</v>
      </c>
      <c r="E385" s="43" t="s">
        <v>931</v>
      </c>
      <c r="F385" s="40" t="s">
        <v>1108</v>
      </c>
      <c r="G385" s="40" t="str">
        <f xml:space="preserve"> IF(F385=$C$13,"Ok","Les réclamations clients ne sont pas tracées")</f>
        <v>Les réclamations clients ne sont pas tracées</v>
      </c>
      <c r="H385" s="29" t="str">
        <f xml:space="preserve"> IF(F385=$C$13,"Ok à maintenir","Créer un registre centralisé des non-conformités clients avec analyse des tendances")</f>
        <v>Créer un registre centralisé des non-conformités clients avec analyse des tendances</v>
      </c>
      <c r="I385" s="51" t="s">
        <v>296</v>
      </c>
      <c r="J385" s="29" t="str">
        <f xml:space="preserve"> IF(F385=$C$13,"-","30jours")</f>
        <v>30jours</v>
      </c>
      <c r="K385" s="42" t="str">
        <f xml:space="preserve"> IF(F385=$C$13,"-","Ouverte")</f>
        <v>Ouverte</v>
      </c>
    </row>
    <row r="386" spans="2:11">
      <c r="B386" s="47" t="s">
        <v>932</v>
      </c>
      <c r="C386" s="40" t="s">
        <v>328</v>
      </c>
      <c r="D386" s="43" t="s">
        <v>933</v>
      </c>
      <c r="E386" s="43" t="s">
        <v>934</v>
      </c>
      <c r="F386" s="40" t="s">
        <v>1108</v>
      </c>
      <c r="G386" s="40" t="str">
        <f xml:space="preserve"> IF(F386=$C$13,"Ok","Certaines NC sont abandonnées sans clôture")</f>
        <v>Certaines NC sont abandonnées sans clôture</v>
      </c>
      <c r="H386" s="29" t="str">
        <f xml:space="preserve"> IF(F386=$C$13,"Ok à maintenir","Mettre en œuvre un système de suivi avec alertes et validation de clôture")</f>
        <v>Mettre en œuvre un système de suivi avec alertes et validation de clôture</v>
      </c>
      <c r="I386" s="51" t="s">
        <v>53</v>
      </c>
      <c r="J386" s="29" t="str">
        <f xml:space="preserve"> IF(F386=$C$13,"-","30jours")</f>
        <v>30jours</v>
      </c>
      <c r="K386" s="42" t="str">
        <f xml:space="preserve"> IF(F386=$C$13,"-","Ouverte")</f>
        <v>Ouverte</v>
      </c>
    </row>
    <row r="387" spans="2:11" ht="22.5">
      <c r="B387" s="33" t="s">
        <v>554</v>
      </c>
      <c r="C387" s="32"/>
      <c r="D387" s="32"/>
      <c r="E387" s="32"/>
      <c r="F387" s="32"/>
      <c r="G387" s="40"/>
      <c r="H387" s="29"/>
      <c r="I387" s="32"/>
      <c r="J387" s="29"/>
      <c r="K387" s="42"/>
    </row>
    <row r="388" spans="2:11">
      <c r="B388" s="21"/>
      <c r="C388" s="32"/>
      <c r="D388" s="32"/>
      <c r="E388" s="32"/>
      <c r="F388" s="32"/>
      <c r="G388" s="40"/>
      <c r="H388" s="29"/>
      <c r="I388" s="32"/>
      <c r="J388" s="29"/>
      <c r="K388" s="42"/>
    </row>
    <row r="389" spans="2:11">
      <c r="B389" s="35" t="s">
        <v>38</v>
      </c>
      <c r="C389" s="36" t="s">
        <v>39</v>
      </c>
      <c r="D389" s="36" t="s">
        <v>13</v>
      </c>
      <c r="E389" s="36" t="s">
        <v>1128</v>
      </c>
      <c r="F389" s="36" t="s">
        <v>842</v>
      </c>
      <c r="G389" s="37" t="s">
        <v>11</v>
      </c>
      <c r="H389" s="37" t="s">
        <v>41</v>
      </c>
      <c r="I389" s="37" t="s">
        <v>42</v>
      </c>
      <c r="J389" s="37" t="s">
        <v>43</v>
      </c>
      <c r="K389" s="38" t="s">
        <v>44</v>
      </c>
    </row>
    <row r="390" spans="2:11" ht="30">
      <c r="B390" s="47" t="s">
        <v>935</v>
      </c>
      <c r="C390" s="40" t="s">
        <v>555</v>
      </c>
      <c r="D390" s="43" t="s">
        <v>936</v>
      </c>
      <c r="E390" s="43" t="s">
        <v>937</v>
      </c>
      <c r="F390" s="40" t="s">
        <v>1108</v>
      </c>
      <c r="G390" s="40" t="str">
        <f xml:space="preserve"> IF(F390=$C$13,"Ok","Certaines NC restent ouvertes sans traitement rapide")</f>
        <v>Certaines NC restent ouvertes sans traitement rapide</v>
      </c>
      <c r="H390" s="29" t="str">
        <f xml:space="preserve"> IF(F390=$C$13,"Ok à maintenir","Formaliser une procédure de réaction immédiate avec délai maximal de traitement")</f>
        <v>Formaliser une procédure de réaction immédiate avec délai maximal de traitement</v>
      </c>
      <c r="I390" s="51" t="s">
        <v>176</v>
      </c>
      <c r="J390" s="29" t="str">
        <f xml:space="preserve"> IF(F390=$C$13,"-","30jours")</f>
        <v>30jours</v>
      </c>
      <c r="K390" s="42" t="str">
        <f xml:space="preserve"> IF(F390=$C$13,"-","Ouverte")</f>
        <v>Ouverte</v>
      </c>
    </row>
    <row r="391" spans="2:11" ht="30">
      <c r="B391" s="47" t="s">
        <v>938</v>
      </c>
      <c r="C391" s="40" t="s">
        <v>328</v>
      </c>
      <c r="D391" s="43" t="s">
        <v>556</v>
      </c>
      <c r="E391" s="43" t="s">
        <v>939</v>
      </c>
      <c r="F391" s="40" t="s">
        <v>1108</v>
      </c>
      <c r="G391" s="40" t="str">
        <f xml:space="preserve"> IF(F391=$C$13,"Ok","Les causes profondes ne sont pas analysées")</f>
        <v>Les causes profondes ne sont pas analysées</v>
      </c>
      <c r="H391" s="29" t="str">
        <f xml:space="preserve"> IF(F391=$C$13,"Ok à maintenir","Généraliser l'utilisation des méthodes 5 Pourquoi et Ishikawa et capitaliser les résultats")</f>
        <v>Généraliser l'utilisation des méthodes 5 Pourquoi et Ishikawa et capitaliser les résultats</v>
      </c>
      <c r="I391" s="51" t="s">
        <v>53</v>
      </c>
      <c r="J391" s="29" t="str">
        <f xml:space="preserve"> IF(F391=$C$13,"-","30jours")</f>
        <v>30jours</v>
      </c>
      <c r="K391" s="42" t="str">
        <f xml:space="preserve"> IF(F391=$C$13,"-","Ouverte")</f>
        <v>Ouverte</v>
      </c>
    </row>
    <row r="392" spans="2:11" ht="30">
      <c r="B392" s="47" t="s">
        <v>940</v>
      </c>
      <c r="C392" s="40" t="s">
        <v>328</v>
      </c>
      <c r="D392" s="43" t="s">
        <v>941</v>
      </c>
      <c r="E392" s="43" t="s">
        <v>942</v>
      </c>
      <c r="F392" s="40" t="s">
        <v>1108</v>
      </c>
      <c r="G392" s="40" t="str">
        <f xml:space="preserve"> IF(F392=$C$13,"Ok","Les mêmes problèmes réapparaissent")</f>
        <v>Les mêmes problèmes réapparaissent</v>
      </c>
      <c r="H392" s="29" t="str">
        <f xml:space="preserve"> IF(F392=$C$13,"Ok à maintenir","Vérifier systématiquement l'efficacité des actions et partager les enseignements dans l'organisation")</f>
        <v>Vérifier systématiquement l'efficacité des actions et partager les enseignements dans l'organisation</v>
      </c>
      <c r="I392" s="51" t="s">
        <v>53</v>
      </c>
      <c r="J392" s="29" t="str">
        <f xml:space="preserve"> IF(F392=$C$13,"-","30jours")</f>
        <v>30jours</v>
      </c>
      <c r="K392" s="42" t="str">
        <f xml:space="preserve"> IF(F392=$C$13,"-","Ouverte")</f>
        <v>Ouverte</v>
      </c>
    </row>
    <row r="393" spans="2:11">
      <c r="B393" s="92" t="s">
        <v>943</v>
      </c>
      <c r="C393" s="93" t="s">
        <v>79</v>
      </c>
      <c r="D393" s="93" t="s">
        <v>944</v>
      </c>
      <c r="E393" s="93" t="s">
        <v>945</v>
      </c>
      <c r="F393" s="167" t="s">
        <v>1108</v>
      </c>
      <c r="G393" s="167" t="str">
        <f xml:space="preserve"> IF(F393=$C$13,"Ok","Aucun impact potentiel n'est analysé")</f>
        <v>Aucun impact potentiel n'est analysé</v>
      </c>
      <c r="H393" s="168" t="str">
        <f xml:space="preserve"> IF(F393=$C$13,"Ok à maintenir","Intégrer l'évaluation des risques dans le traitement des non-conformités")</f>
        <v>Intégrer l'évaluation des risques dans le traitement des non-conformités</v>
      </c>
      <c r="I393" s="180" t="s">
        <v>82</v>
      </c>
      <c r="J393" s="168" t="str">
        <f xml:space="preserve"> IF(F393=$C$13,"-","30jours")</f>
        <v>30jours</v>
      </c>
      <c r="K393" s="174" t="str">
        <f xml:space="preserve"> IF(F393=$C$13,"-","Ouverte")</f>
        <v>Ouverte</v>
      </c>
    </row>
    <row r="394" spans="2:11" ht="27">
      <c r="B394" s="34" t="s">
        <v>558</v>
      </c>
      <c r="C394" s="32"/>
      <c r="D394" s="32"/>
      <c r="E394" s="32"/>
      <c r="F394" s="32"/>
      <c r="G394" s="40"/>
      <c r="H394" s="29"/>
      <c r="I394" s="32"/>
      <c r="J394" s="29"/>
      <c r="K394" s="42"/>
    </row>
    <row r="395" spans="2:11">
      <c r="B395" s="21"/>
      <c r="C395" s="32"/>
      <c r="D395" s="32"/>
      <c r="E395" s="32"/>
      <c r="F395" s="32"/>
      <c r="G395" s="40"/>
      <c r="H395" s="29"/>
      <c r="I395" s="32"/>
      <c r="J395" s="29"/>
      <c r="K395" s="42"/>
    </row>
    <row r="396" spans="2:11">
      <c r="B396" s="35" t="s">
        <v>38</v>
      </c>
      <c r="C396" s="36" t="s">
        <v>39</v>
      </c>
      <c r="D396" s="36" t="s">
        <v>13</v>
      </c>
      <c r="E396" s="36" t="s">
        <v>1128</v>
      </c>
      <c r="F396" s="36" t="s">
        <v>842</v>
      </c>
      <c r="G396" s="37" t="s">
        <v>11</v>
      </c>
      <c r="H396" s="37" t="s">
        <v>41</v>
      </c>
      <c r="I396" s="37" t="s">
        <v>42</v>
      </c>
      <c r="J396" s="37" t="s">
        <v>43</v>
      </c>
      <c r="K396" s="38" t="s">
        <v>44</v>
      </c>
    </row>
    <row r="397" spans="2:11" ht="30">
      <c r="B397" s="47" t="s">
        <v>946</v>
      </c>
      <c r="C397" s="40" t="s">
        <v>46</v>
      </c>
      <c r="D397" s="43" t="s">
        <v>947</v>
      </c>
      <c r="E397" s="43" t="s">
        <v>948</v>
      </c>
      <c r="F397" s="40" t="s">
        <v>1108</v>
      </c>
      <c r="G397" s="40" t="str">
        <f xml:space="preserve"> IF(F397=$C$13,"Ok","Le système n'évolue pas malgré les constats récurrents")</f>
        <v>Le système n'évolue pas malgré les constats récurrents</v>
      </c>
      <c r="H397" s="29" t="str">
        <f xml:space="preserve"> IF(F397=$C$13,"Ok à maintenir","Mettre en place un programme annuel d'amélioration continue avec objectifs mesurables")</f>
        <v>Mettre en place un programme annuel d'amélioration continue avec objectifs mesurables</v>
      </c>
      <c r="I397" s="51" t="s">
        <v>62</v>
      </c>
      <c r="J397" s="29" t="str">
        <f xml:space="preserve"> IF(F397=$C$13,"-","30jours")</f>
        <v>30jours</v>
      </c>
      <c r="K397" s="42" t="str">
        <f xml:space="preserve"> IF(F397=$C$13,"-","Ouverte")</f>
        <v>Ouverte</v>
      </c>
    </row>
    <row r="398" spans="2:11">
      <c r="B398" s="47" t="s">
        <v>949</v>
      </c>
      <c r="C398" s="40" t="s">
        <v>74</v>
      </c>
      <c r="D398" s="43" t="s">
        <v>950</v>
      </c>
      <c r="E398" s="43" t="s">
        <v>951</v>
      </c>
      <c r="F398" s="40" t="s">
        <v>1108</v>
      </c>
      <c r="G398" s="40" t="str">
        <f xml:space="preserve"> IF(F398=$C$13,"Ok","Les enseignements des projets ne sont pas capitalisés")</f>
        <v>Les enseignements des projets ne sont pas capitalisés</v>
      </c>
      <c r="H398" s="29" t="str">
        <f xml:space="preserve"> IF(F398=$C$13,"Ok à maintenir","Déployer un processus structuré de REX et une base de connaissances partagée")</f>
        <v>Déployer un processus structuré de REX et une base de connaissances partagée</v>
      </c>
      <c r="I398" s="51" t="s">
        <v>296</v>
      </c>
      <c r="J398" s="29" t="str">
        <f xml:space="preserve"> IF(F398=$C$13,"-","30jours")</f>
        <v>30jours</v>
      </c>
      <c r="K398" s="42" t="str">
        <f xml:space="preserve"> IF(F398=$C$13,"-","Ouverte")</f>
        <v>Ouverte</v>
      </c>
    </row>
    <row r="399" spans="2:11">
      <c r="B399" s="47" t="s">
        <v>952</v>
      </c>
      <c r="C399" s="40" t="s">
        <v>55</v>
      </c>
      <c r="D399" s="43" t="s">
        <v>841</v>
      </c>
      <c r="E399" s="43" t="s">
        <v>953</v>
      </c>
      <c r="F399" s="40" t="s">
        <v>1108</v>
      </c>
      <c r="G399" s="40" t="str">
        <f xml:space="preserve"> IF(F399=$C$13,"Ok","Les connaissances restent au niveau individuel")</f>
        <v>Les connaissances restent au niveau individuel</v>
      </c>
      <c r="H399" s="29" t="str">
        <f xml:space="preserve"> IF(F399=$C$13,"Ok à maintenir","Créer une communauté interne de partage des bonnes pratiques")</f>
        <v>Créer une communauté interne de partage des bonnes pratiques</v>
      </c>
      <c r="I399" s="51" t="s">
        <v>243</v>
      </c>
      <c r="J399" s="29" t="str">
        <f xml:space="preserve"> IF(F399=$C$13,"-","30jours")</f>
        <v>30jours</v>
      </c>
      <c r="K399" s="42" t="str">
        <f xml:space="preserve"> IF(F399=$C$13,"-","Ouverte")</f>
        <v>Ouverte</v>
      </c>
    </row>
    <row r="400" spans="2:11" ht="30.75" thickBot="1">
      <c r="B400" s="52" t="s">
        <v>954</v>
      </c>
      <c r="C400" s="53" t="s">
        <v>46</v>
      </c>
      <c r="D400" s="54" t="s">
        <v>955</v>
      </c>
      <c r="E400" s="54" t="s">
        <v>956</v>
      </c>
      <c r="F400" s="53" t="s">
        <v>1108</v>
      </c>
      <c r="G400" s="53" t="str">
        <f xml:space="preserve"> IF(F400=$C$13,"Ok","Les indicateurs montrent des dégradations répétitives sans réaction")</f>
        <v>Les indicateurs montrent des dégradations répétitives sans réaction</v>
      </c>
      <c r="H400" s="158" t="str">
        <f xml:space="preserve"> IF(F400=$C$13,"Ok à maintenir","Mettre en œuvre des plans d'amélioration ciblés basés sur les données de performance et les objectifs du SM")</f>
        <v>Mettre en œuvre des plans d'amélioration ciblés basés sur les données de performance et les objectifs du SM</v>
      </c>
      <c r="I400" s="55" t="s">
        <v>62</v>
      </c>
      <c r="J400" s="158" t="str">
        <f xml:space="preserve"> IF(F400=$C$13,"-","30jours")</f>
        <v>30jours</v>
      </c>
      <c r="K400" s="160" t="str">
        <f xml:space="preserve"> IF(F400=$C$13,"-","Ouverte")</f>
        <v>Ouverte</v>
      </c>
    </row>
    <row r="405" spans="2:3">
      <c r="B405" s="5" t="s">
        <v>560</v>
      </c>
      <c r="C405" s="5" t="s">
        <v>561</v>
      </c>
    </row>
    <row r="406" spans="2:3" ht="30">
      <c r="B406" s="6" t="s">
        <v>562</v>
      </c>
      <c r="C406" s="6" t="s">
        <v>563</v>
      </c>
    </row>
    <row r="407" spans="2:3">
      <c r="B407" s="6" t="s">
        <v>564</v>
      </c>
      <c r="C407" s="6" t="s">
        <v>565</v>
      </c>
    </row>
    <row r="408" spans="2:3">
      <c r="B408" s="6" t="s">
        <v>566</v>
      </c>
      <c r="C408" s="6" t="s">
        <v>567</v>
      </c>
    </row>
    <row r="409" spans="2:3">
      <c r="B409" s="6" t="s">
        <v>11</v>
      </c>
      <c r="C409" s="6" t="s">
        <v>568</v>
      </c>
    </row>
  </sheetData>
  <dataValidations count="1">
    <dataValidation type="list" allowBlank="1" showInputMessage="1" showErrorMessage="1" sqref="F35:F38 F43:F45 F49:F52 F61:F63 F68:F70 F75:F77 F81:F83 F92:F99 F397:F400 F121:F124 F133:F134 F138:F140 F145:F147 F151:F152 F156:F157 F161:F162 F166:F169 F173:F175 F179:F181 F185:F187 F195:F200 F212:F214 F218:F221 F225:F228 F234:F235 F239:F241 F245:F247 F251:F253 F257:F259 F263:F265 F269:F272 F278:F279 F283:F284 F288:F289 F293:F294 F298 F302:F303 F307:F309 F317:F320 F324:F327 F331:F334 F340:F343 F347:F349 F355:F356 F360:F364 F368:F370 F377:F378 F384:F386 F390:F393 F27:F30 F110:F115" xr:uid="{A61EBB3B-F2D4-470D-8E0A-41CB16FF6F68}">
      <formula1>$C$13:$C$15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127A-39D8-4139-9E72-D0339D11F320}">
  <dimension ref="A1:Z148"/>
  <sheetViews>
    <sheetView topLeftCell="A49" zoomScale="40" zoomScaleNormal="40" workbookViewId="0">
      <selection activeCell="B11" sqref="B11"/>
    </sheetView>
  </sheetViews>
  <sheetFormatPr baseColWidth="10" defaultRowHeight="15"/>
  <cols>
    <col min="2" max="2" width="46.28515625" customWidth="1"/>
    <col min="3" max="3" width="68.7109375" customWidth="1"/>
    <col min="4" max="4" width="48.5703125" customWidth="1"/>
    <col min="5" max="5" width="83" customWidth="1"/>
    <col min="6" max="6" width="14.85546875" customWidth="1"/>
    <col min="7" max="7" width="23.7109375" customWidth="1"/>
    <col min="8" max="8" width="17.85546875" customWidth="1"/>
    <col min="9" max="9" width="23.85546875" customWidth="1"/>
    <col min="10" max="10" width="41.42578125" customWidth="1"/>
    <col min="11" max="11" width="32.42578125" customWidth="1"/>
    <col min="12" max="12" width="18" customWidth="1"/>
  </cols>
  <sheetData>
    <row r="1" spans="1:26" ht="15.75" thickBot="1"/>
    <row r="2" spans="1:26" ht="30">
      <c r="A2" s="73"/>
      <c r="B2" s="96" t="s">
        <v>1120</v>
      </c>
      <c r="C2" s="101"/>
      <c r="D2" s="101"/>
      <c r="E2" s="101"/>
      <c r="F2" s="83"/>
      <c r="G2" s="83"/>
      <c r="H2" s="83"/>
      <c r="I2" s="83"/>
      <c r="J2" s="83"/>
      <c r="K2" s="83"/>
      <c r="L2" s="84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>
      <c r="A3" s="73"/>
      <c r="B3" s="102" t="s">
        <v>1121</v>
      </c>
      <c r="C3" s="103"/>
      <c r="D3" s="103"/>
      <c r="E3" s="103"/>
      <c r="F3" s="59"/>
      <c r="G3" s="59"/>
      <c r="H3" s="59"/>
      <c r="I3" s="59"/>
      <c r="J3" s="59"/>
      <c r="K3" s="59"/>
      <c r="L3" s="77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>
      <c r="A4" s="73"/>
      <c r="B4" s="104" t="s">
        <v>1086</v>
      </c>
      <c r="C4" s="105"/>
      <c r="D4" s="103"/>
      <c r="E4" s="103"/>
      <c r="F4" s="59"/>
      <c r="G4" s="59"/>
      <c r="H4" s="59"/>
      <c r="I4" s="59"/>
      <c r="J4" s="59"/>
      <c r="K4" s="59"/>
      <c r="L4" s="77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>
      <c r="A5" s="73"/>
      <c r="B5" s="104"/>
      <c r="C5" s="105"/>
      <c r="D5" s="103"/>
      <c r="E5" s="103"/>
      <c r="F5" s="59"/>
      <c r="G5" s="59"/>
      <c r="H5" s="59"/>
      <c r="I5" s="59"/>
      <c r="J5" s="59"/>
      <c r="K5" s="59"/>
      <c r="L5" s="77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>
      <c r="A6" s="73"/>
      <c r="B6" s="106" t="s">
        <v>1082</v>
      </c>
      <c r="C6" s="107"/>
      <c r="D6" s="103"/>
      <c r="E6" s="103"/>
      <c r="F6" s="59"/>
      <c r="G6" s="59"/>
      <c r="H6" s="59"/>
      <c r="I6" s="59"/>
      <c r="J6" s="59"/>
      <c r="K6" s="59"/>
      <c r="L6" s="77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>
      <c r="A7" s="73"/>
      <c r="B7" s="106" t="s">
        <v>1008</v>
      </c>
      <c r="C7" s="107"/>
      <c r="D7" s="103"/>
      <c r="E7" s="103"/>
      <c r="F7" s="59"/>
      <c r="G7" s="59"/>
      <c r="H7" s="59"/>
      <c r="I7" s="59"/>
      <c r="J7" s="59"/>
      <c r="K7" s="59"/>
      <c r="L7" s="77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>
      <c r="A8" s="73"/>
      <c r="B8" s="102"/>
      <c r="C8" s="103"/>
      <c r="D8" s="103"/>
      <c r="E8" s="103"/>
      <c r="F8" s="59"/>
      <c r="G8" s="59"/>
      <c r="H8" s="59"/>
      <c r="I8" s="59"/>
      <c r="J8" s="59"/>
      <c r="K8" s="59"/>
      <c r="L8" s="77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5.75" thickBot="1">
      <c r="A9" s="73"/>
      <c r="B9" s="60"/>
      <c r="C9" s="59"/>
      <c r="D9" s="103"/>
      <c r="E9" s="103"/>
      <c r="F9" s="59"/>
      <c r="G9" s="59"/>
      <c r="H9" s="59"/>
      <c r="I9" s="59"/>
      <c r="J9" s="59"/>
      <c r="K9" s="59"/>
      <c r="L9" s="77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22.5">
      <c r="A10" s="73"/>
      <c r="B10" s="108" t="s">
        <v>1123</v>
      </c>
      <c r="C10" s="109"/>
      <c r="D10" s="109"/>
      <c r="E10" s="109"/>
      <c r="F10" s="109"/>
      <c r="G10" s="109"/>
      <c r="H10" s="83"/>
      <c r="I10" s="83"/>
      <c r="J10" s="83"/>
      <c r="K10" s="83"/>
      <c r="L10" s="84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11" customHeight="1">
      <c r="A11" s="73"/>
      <c r="B11" s="110" t="s">
        <v>1129</v>
      </c>
      <c r="C11" s="111" t="s">
        <v>1081</v>
      </c>
      <c r="D11" s="111"/>
      <c r="E11" s="112"/>
      <c r="F11" s="112"/>
      <c r="G11" s="112"/>
      <c r="H11" s="59"/>
      <c r="I11" s="59"/>
      <c r="J11" s="59"/>
      <c r="K11" s="59"/>
      <c r="L11" s="77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23.25" thickBot="1">
      <c r="A12" s="73"/>
      <c r="B12" s="50"/>
      <c r="C12" s="113"/>
      <c r="D12" s="114"/>
      <c r="E12" s="112"/>
      <c r="F12" s="112"/>
      <c r="G12" s="112"/>
      <c r="H12" s="59"/>
      <c r="I12" s="59"/>
      <c r="J12" s="59"/>
      <c r="K12" s="59"/>
      <c r="L12" s="77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22.5">
      <c r="A13" s="73"/>
      <c r="B13" s="148" t="s">
        <v>1009</v>
      </c>
      <c r="C13" s="149" t="s">
        <v>65</v>
      </c>
      <c r="D13" s="149" t="s">
        <v>1010</v>
      </c>
      <c r="E13" s="150" t="s">
        <v>1122</v>
      </c>
      <c r="F13" s="115"/>
      <c r="G13" s="112"/>
      <c r="H13" s="59"/>
      <c r="I13" s="59"/>
      <c r="J13" s="59"/>
      <c r="K13" s="59"/>
      <c r="L13" s="77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5.75">
      <c r="A14" s="73"/>
      <c r="B14" s="116" t="s">
        <v>1087</v>
      </c>
      <c r="C14" s="117" t="s">
        <v>1088</v>
      </c>
      <c r="D14" s="117"/>
      <c r="E14" s="118"/>
      <c r="F14" s="114"/>
      <c r="G14" s="59"/>
      <c r="H14" s="119"/>
      <c r="I14" s="43"/>
      <c r="J14" s="43"/>
      <c r="K14" s="59"/>
      <c r="L14" s="77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6.5" thickBot="1">
      <c r="A15" s="73"/>
      <c r="B15" s="120" t="s">
        <v>1099</v>
      </c>
      <c r="C15" s="121" t="s">
        <v>1100</v>
      </c>
      <c r="D15" s="121"/>
      <c r="E15" s="122"/>
      <c r="F15" s="114"/>
      <c r="G15" s="59"/>
      <c r="H15" s="119"/>
      <c r="I15" s="43"/>
      <c r="J15" s="43"/>
      <c r="K15" s="59"/>
      <c r="L15" s="77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>
      <c r="A16" s="73"/>
      <c r="B16" s="60"/>
      <c r="C16" s="59"/>
      <c r="D16" s="103"/>
      <c r="E16" s="103"/>
      <c r="F16" s="59"/>
      <c r="G16" s="59"/>
      <c r="H16" s="119"/>
      <c r="I16" s="43"/>
      <c r="J16" s="43"/>
      <c r="K16" s="59"/>
      <c r="L16" s="77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>
      <c r="A17" s="73"/>
      <c r="B17" s="60"/>
      <c r="C17" s="59"/>
      <c r="D17" s="103"/>
      <c r="E17" s="103"/>
      <c r="F17" s="59"/>
      <c r="G17" s="59"/>
      <c r="H17" s="59"/>
      <c r="I17" s="59"/>
      <c r="J17" s="59"/>
      <c r="K17" s="59"/>
      <c r="L17" s="77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>
      <c r="A18" s="73"/>
      <c r="B18" s="60"/>
      <c r="C18" s="59"/>
      <c r="D18" s="103"/>
      <c r="E18" s="103"/>
      <c r="F18" s="59"/>
      <c r="G18" s="59"/>
      <c r="H18" s="59"/>
      <c r="I18" s="59"/>
      <c r="J18" s="59"/>
      <c r="K18" s="59"/>
      <c r="L18" s="77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.75" thickBot="1">
      <c r="A19" s="73"/>
      <c r="B19" s="79"/>
      <c r="C19" s="80"/>
      <c r="D19" s="123"/>
      <c r="E19" s="123"/>
      <c r="F19" s="80"/>
      <c r="G19" s="80"/>
      <c r="H19" s="80"/>
      <c r="I19" s="80"/>
      <c r="J19" s="80"/>
      <c r="K19" s="80"/>
      <c r="L19" s="81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22.5">
      <c r="A20" s="73"/>
      <c r="B20" s="108" t="s">
        <v>1124</v>
      </c>
      <c r="C20" s="109"/>
      <c r="D20" s="124"/>
      <c r="E20" s="124"/>
      <c r="F20" s="83"/>
      <c r="G20" s="83"/>
      <c r="H20" s="83"/>
      <c r="I20" s="83"/>
      <c r="J20" s="83"/>
      <c r="K20" s="83"/>
      <c r="L20" s="84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02">
      <c r="A21" s="73"/>
      <c r="B21" s="110" t="s">
        <v>1129</v>
      </c>
      <c r="C21" s="111" t="s">
        <v>1081</v>
      </c>
      <c r="D21" s="125"/>
      <c r="E21" s="103"/>
      <c r="F21" s="59"/>
      <c r="G21" s="59"/>
      <c r="H21" s="59"/>
      <c r="I21" s="59"/>
      <c r="J21" s="59"/>
      <c r="K21" s="59"/>
      <c r="L21" s="77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>
      <c r="A22" s="73"/>
      <c r="B22" s="110"/>
      <c r="C22" s="126"/>
      <c r="D22" s="103"/>
      <c r="E22" s="103"/>
      <c r="F22" s="59"/>
      <c r="G22" s="59"/>
      <c r="H22" s="59"/>
      <c r="I22" s="59"/>
      <c r="J22" s="59"/>
      <c r="K22" s="59"/>
      <c r="L22" s="77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23.25" thickBot="1">
      <c r="A23" s="73"/>
      <c r="B23" s="127"/>
      <c r="C23" s="112"/>
      <c r="D23" s="103"/>
      <c r="E23" s="103"/>
      <c r="F23" s="59"/>
      <c r="G23" s="59"/>
      <c r="H23" s="59"/>
      <c r="I23" s="59"/>
      <c r="J23" s="59"/>
      <c r="K23" s="59"/>
      <c r="L23" s="77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>
      <c r="A24" s="73"/>
      <c r="B24" s="60"/>
      <c r="C24" s="24" t="s">
        <v>1078</v>
      </c>
      <c r="D24" s="83"/>
      <c r="E24" s="124"/>
      <c r="F24" s="83"/>
      <c r="G24" s="84"/>
      <c r="H24" s="59"/>
      <c r="I24" s="59"/>
      <c r="J24" s="59"/>
      <c r="K24" s="59"/>
      <c r="L24" s="77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>
      <c r="A25" s="73"/>
      <c r="B25" s="60"/>
      <c r="C25" s="60"/>
      <c r="D25" s="184" t="s">
        <v>1077</v>
      </c>
      <c r="E25" s="184"/>
      <c r="F25" s="184" t="s">
        <v>1058</v>
      </c>
      <c r="G25" s="185"/>
      <c r="H25" s="59"/>
      <c r="I25" s="59"/>
      <c r="J25" s="59"/>
      <c r="K25" s="59"/>
      <c r="L25" s="77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>
      <c r="A26" s="73"/>
      <c r="B26" s="60"/>
      <c r="C26" s="60"/>
      <c r="D26" s="128">
        <v>1</v>
      </c>
      <c r="E26" s="128" t="s">
        <v>1011</v>
      </c>
      <c r="F26" s="61">
        <v>1</v>
      </c>
      <c r="G26" s="129" t="s">
        <v>1057</v>
      </c>
      <c r="H26" s="59"/>
      <c r="I26" s="59"/>
      <c r="J26" s="59"/>
      <c r="K26" s="59"/>
      <c r="L26" s="77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>
      <c r="A27" s="73"/>
      <c r="B27" s="60"/>
      <c r="C27" s="60"/>
      <c r="D27" s="128">
        <v>2</v>
      </c>
      <c r="E27" s="128" t="s">
        <v>1012</v>
      </c>
      <c r="F27" s="61">
        <v>2</v>
      </c>
      <c r="G27" s="130" t="s">
        <v>1056</v>
      </c>
      <c r="H27" s="59"/>
      <c r="I27" s="59"/>
      <c r="J27" s="119"/>
      <c r="K27" s="59"/>
      <c r="L27" s="77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>
      <c r="A28" s="73"/>
      <c r="B28" s="60"/>
      <c r="C28" s="60"/>
      <c r="D28" s="128">
        <v>3</v>
      </c>
      <c r="E28" s="128" t="s">
        <v>1013</v>
      </c>
      <c r="F28" s="61">
        <v>3</v>
      </c>
      <c r="G28" s="129" t="s">
        <v>1055</v>
      </c>
      <c r="H28" s="59"/>
      <c r="I28" s="59"/>
      <c r="J28" s="43"/>
      <c r="K28" s="59"/>
      <c r="L28" s="77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5.75" thickBot="1">
      <c r="A29" s="73"/>
      <c r="B29" s="60"/>
      <c r="C29" s="79"/>
      <c r="D29" s="131">
        <v>4</v>
      </c>
      <c r="E29" s="131" t="s">
        <v>1014</v>
      </c>
      <c r="F29" s="132"/>
      <c r="G29" s="133"/>
      <c r="H29" s="59"/>
      <c r="I29" s="59"/>
      <c r="J29" s="59"/>
      <c r="K29" s="59"/>
      <c r="L29" s="77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>
      <c r="A30" s="73"/>
      <c r="B30" s="60"/>
      <c r="C30" s="59"/>
      <c r="D30" s="134"/>
      <c r="E30" s="134"/>
      <c r="F30" s="59"/>
      <c r="G30" s="59"/>
      <c r="H30" s="43"/>
      <c r="I30" s="59"/>
      <c r="J30" s="59"/>
      <c r="K30" s="59"/>
      <c r="L30" s="77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>
      <c r="A31" s="73"/>
      <c r="B31" s="60"/>
      <c r="C31" s="59"/>
      <c r="D31" s="134"/>
      <c r="E31" s="134"/>
      <c r="F31" s="59"/>
      <c r="G31" s="59"/>
      <c r="H31" s="59"/>
      <c r="I31" s="59"/>
      <c r="J31" s="59"/>
      <c r="K31" s="59"/>
      <c r="L31" s="77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5.75" thickBot="1">
      <c r="A32" s="73"/>
      <c r="B32" s="60"/>
      <c r="C32" s="59"/>
      <c r="D32" s="134"/>
      <c r="E32" s="134"/>
      <c r="F32" s="59"/>
      <c r="G32" s="59"/>
      <c r="H32" s="59"/>
      <c r="I32" s="59"/>
      <c r="J32" s="59"/>
      <c r="K32" s="59"/>
      <c r="L32" s="77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9.5" thickBot="1">
      <c r="A33" s="73"/>
      <c r="B33" s="135" t="s">
        <v>839</v>
      </c>
      <c r="C33" s="136" t="s">
        <v>1076</v>
      </c>
      <c r="D33" s="137" t="s">
        <v>1009</v>
      </c>
      <c r="E33" s="138" t="s">
        <v>65</v>
      </c>
      <c r="F33" s="138" t="s">
        <v>1006</v>
      </c>
      <c r="G33" s="138" t="s">
        <v>1007</v>
      </c>
      <c r="H33" s="139" t="s">
        <v>1002</v>
      </c>
      <c r="I33" s="139" t="s">
        <v>1003</v>
      </c>
      <c r="J33" s="139" t="s">
        <v>1004</v>
      </c>
      <c r="K33" s="140" t="s">
        <v>1005</v>
      </c>
      <c r="L33" s="77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23.25" customHeight="1">
      <c r="A34" s="73"/>
      <c r="B34" s="186" t="s">
        <v>959</v>
      </c>
      <c r="C34" s="141" t="s">
        <v>1089</v>
      </c>
      <c r="D34" s="141" t="s">
        <v>1090</v>
      </c>
      <c r="E34" s="142" t="s">
        <v>1091</v>
      </c>
      <c r="F34" s="143"/>
      <c r="G34" s="143" t="str">
        <f>_xlfn.IFS(F34&lt;1," Verifier le score",F34&gt;4," Verifier le score",F34=$D$26,$E$26,F34=$D$27,$E$27,F34=$D$28,$E$28,F34=$D$29,$E$29,F34=#REF!,#REF!)</f>
        <v xml:space="preserve"> Verifier le score</v>
      </c>
      <c r="H34" s="143"/>
      <c r="I34" s="143"/>
      <c r="J34" s="143"/>
      <c r="K34" s="144" t="s">
        <v>1057</v>
      </c>
      <c r="L34" s="77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" customHeight="1">
      <c r="A35" s="73"/>
      <c r="B35" s="187"/>
      <c r="C35" s="145" t="s">
        <v>1059</v>
      </c>
      <c r="D35" s="145" t="s">
        <v>1015</v>
      </c>
      <c r="E35" s="128" t="s">
        <v>1092</v>
      </c>
      <c r="F35" s="61"/>
      <c r="G35" s="61" t="str">
        <f>_xlfn.IFS(F35&lt;1," Verifier le score",F35&gt;4," Verifier le score",F35=$D$26,$E$26,F35=$D$27,$E$27,F35=$D$28,$E$28,F35=$D$29,$E$29,F35=#REF!,#REF!)</f>
        <v xml:space="preserve"> Verifier le score</v>
      </c>
      <c r="H35" s="61"/>
      <c r="I35" s="61"/>
      <c r="J35" s="61"/>
      <c r="K35" s="130" t="s">
        <v>1057</v>
      </c>
      <c r="L35" s="77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" customHeight="1">
      <c r="A36" s="73"/>
      <c r="B36" s="187"/>
      <c r="C36" s="145" t="s">
        <v>1060</v>
      </c>
      <c r="D36" s="145" t="s">
        <v>1016</v>
      </c>
      <c r="E36" s="128" t="s">
        <v>1104</v>
      </c>
      <c r="F36" s="61"/>
      <c r="G36" s="61" t="str">
        <f>_xlfn.IFS(F36&lt;1," Verifier le score",F36&gt;4," Verifier le score",F36=$D$26,$E$26,F36=$D$27,$E$27,F36=$D$28,$E$28,F36=$D$29,$E$29,F36=#REF!,#REF!)</f>
        <v xml:space="preserve"> Verifier le score</v>
      </c>
      <c r="H36" s="61"/>
      <c r="I36" s="61"/>
      <c r="J36" s="61"/>
      <c r="K36" s="130" t="s">
        <v>1057</v>
      </c>
      <c r="L36" s="77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" customHeight="1">
      <c r="A37" s="73"/>
      <c r="B37" s="187"/>
      <c r="C37" s="145" t="s">
        <v>1061</v>
      </c>
      <c r="D37" s="145" t="s">
        <v>1017</v>
      </c>
      <c r="E37" s="128" t="s">
        <v>1093</v>
      </c>
      <c r="F37" s="61"/>
      <c r="G37" s="61" t="str">
        <f>_xlfn.IFS(F37&lt;1," Verifier le score",F37&gt;4," Verifier le score",F37=$D$26,$E$26,F37=$D$27,$E$27,F37=$D$28,$E$28,F37=$D$29,$E$29,F37=#REF!,#REF!)</f>
        <v xml:space="preserve"> Verifier le score</v>
      </c>
      <c r="H37" s="61"/>
      <c r="I37" s="61"/>
      <c r="J37" s="61"/>
      <c r="K37" s="130" t="s">
        <v>1057</v>
      </c>
      <c r="L37" s="77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" customHeight="1" thickBot="1">
      <c r="A38" s="73"/>
      <c r="B38" s="188"/>
      <c r="C38" s="146" t="s">
        <v>840</v>
      </c>
      <c r="D38" s="146" t="s">
        <v>1018</v>
      </c>
      <c r="E38" s="131" t="s">
        <v>1105</v>
      </c>
      <c r="F38" s="132"/>
      <c r="G38" s="132" t="str">
        <f>_xlfn.IFS(F38&lt;1," Verifier le score",F38&gt;4," Verifier le score",F38=$D$26,$E$26,F38=$D$27,$E$27,F38=$D$28,$E$28,F38=$D$29,$E$29,F38=#REF!,#REF!)</f>
        <v xml:space="preserve"> Verifier le score</v>
      </c>
      <c r="H38" s="132"/>
      <c r="I38" s="132"/>
      <c r="J38" s="132"/>
      <c r="K38" s="133" t="s">
        <v>1057</v>
      </c>
      <c r="L38" s="77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7.25" customHeight="1">
      <c r="A39" s="73"/>
      <c r="B39" s="186" t="s">
        <v>960</v>
      </c>
      <c r="C39" s="141" t="s">
        <v>1062</v>
      </c>
      <c r="D39" s="141" t="s">
        <v>1019</v>
      </c>
      <c r="E39" s="142" t="s">
        <v>961</v>
      </c>
      <c r="F39" s="143"/>
      <c r="G39" s="143" t="str">
        <f>_xlfn.IFS(F39&lt;1," Verifier le score",F39&gt;4," Verifier le score",F39=$D$26,$E$26,F39=$D$27,$E$27,F39=$D$28,$E$28,F39=$D$29,$E$29,F39=#REF!,#REF!)</f>
        <v xml:space="preserve"> Verifier le score</v>
      </c>
      <c r="H39" s="143"/>
      <c r="I39" s="143"/>
      <c r="J39" s="143"/>
      <c r="K39" s="144" t="s">
        <v>1057</v>
      </c>
      <c r="L39" s="77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" customHeight="1">
      <c r="A40" s="73"/>
      <c r="B40" s="187"/>
      <c r="C40" s="145" t="s">
        <v>1063</v>
      </c>
      <c r="D40" s="145" t="s">
        <v>1020</v>
      </c>
      <c r="E40" s="128" t="s">
        <v>962</v>
      </c>
      <c r="F40" s="61"/>
      <c r="G40" s="61" t="str">
        <f>_xlfn.IFS(F40&lt;1," Verifier le score",F40&gt;4," Verifier le score",F40=$D$26,$E$26,F40=$D$27,$E$27,F40=$D$28,$E$28,F40=$D$29,$E$29,F40=#REF!,#REF!)</f>
        <v xml:space="preserve"> Verifier le score</v>
      </c>
      <c r="H40" s="61"/>
      <c r="I40" s="61"/>
      <c r="J40" s="61"/>
      <c r="K40" s="130" t="s">
        <v>1057</v>
      </c>
      <c r="L40" s="77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" customHeight="1">
      <c r="A41" s="73"/>
      <c r="B41" s="187"/>
      <c r="C41" s="145" t="s">
        <v>1064</v>
      </c>
      <c r="D41" s="145" t="s">
        <v>1021</v>
      </c>
      <c r="E41" s="128" t="s">
        <v>963</v>
      </c>
      <c r="F41" s="61"/>
      <c r="G41" s="61" t="str">
        <f>_xlfn.IFS(F41&lt;1," Verifier le score",F41&gt;4," Verifier le score",F41=$D$26,$E$26,F41=$D$27,$E$27,F41=$D$28,$E$28,F41=$D$29,$E$29,F41=#REF!,#REF!)</f>
        <v xml:space="preserve"> Verifier le score</v>
      </c>
      <c r="H41" s="61"/>
      <c r="I41" s="61"/>
      <c r="J41" s="61"/>
      <c r="K41" s="130" t="s">
        <v>1057</v>
      </c>
      <c r="L41" s="77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" customHeight="1">
      <c r="A42" s="73"/>
      <c r="B42" s="187"/>
      <c r="C42" s="145" t="s">
        <v>1065</v>
      </c>
      <c r="D42" s="145" t="s">
        <v>1022</v>
      </c>
      <c r="E42" s="128" t="s">
        <v>964</v>
      </c>
      <c r="F42" s="61"/>
      <c r="G42" s="61" t="str">
        <f>_xlfn.IFS(F42&lt;1," Verifier le score",F42&gt;4," Verifier le score",F42=$D$26,$E$26,F42=$D$27,$E$27,F42=$D$28,$E$28,F42=$D$29,$E$29,F42=#REF!,#REF!)</f>
        <v xml:space="preserve"> Verifier le score</v>
      </c>
      <c r="H42" s="61"/>
      <c r="I42" s="61"/>
      <c r="J42" s="61"/>
      <c r="K42" s="130" t="s">
        <v>1057</v>
      </c>
      <c r="L42" s="77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" customHeight="1" thickBot="1">
      <c r="A43" s="73"/>
      <c r="B43" s="188"/>
      <c r="C43" s="146" t="s">
        <v>1066</v>
      </c>
      <c r="D43" s="146" t="s">
        <v>1094</v>
      </c>
      <c r="E43" s="131" t="s">
        <v>1095</v>
      </c>
      <c r="F43" s="132"/>
      <c r="G43" s="132" t="str">
        <f>_xlfn.IFS(F43&lt;1," Verifier le score",F43&gt;4," Verifier le score",F43=$D$26,$E$26,F43=$D$27,$E$27,F43=$D$28,$E$28,F43=$D$29,$E$29,F43=#REF!,#REF!)</f>
        <v xml:space="preserve"> Verifier le score</v>
      </c>
      <c r="H43" s="132"/>
      <c r="I43" s="132"/>
      <c r="J43" s="132"/>
      <c r="K43" s="133" t="s">
        <v>1057</v>
      </c>
      <c r="L43" s="77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23.25" customHeight="1">
      <c r="A44" s="73"/>
      <c r="B44" s="186" t="s">
        <v>965</v>
      </c>
      <c r="C44" s="141" t="s">
        <v>1063</v>
      </c>
      <c r="D44" s="141" t="s">
        <v>1023</v>
      </c>
      <c r="E44" s="142" t="s">
        <v>1106</v>
      </c>
      <c r="F44" s="143"/>
      <c r="G44" s="143" t="str">
        <f>_xlfn.IFS(F44&lt;1," Verifier le score",F44&gt;4," Verifier le score",F44=$D$26,$E$26,F44=$D$27,$E$27,F44=$D$28,$E$28,F44=$D$29,$E$29,F44=#REF!,#REF!)</f>
        <v xml:space="preserve"> Verifier le score</v>
      </c>
      <c r="H44" s="143"/>
      <c r="I44" s="143"/>
      <c r="J44" s="143"/>
      <c r="K44" s="144" t="s">
        <v>1057</v>
      </c>
      <c r="L44" s="77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>
      <c r="A45" s="73"/>
      <c r="B45" s="187"/>
      <c r="C45" s="145" t="s">
        <v>1067</v>
      </c>
      <c r="D45" s="145" t="s">
        <v>1024</v>
      </c>
      <c r="E45" s="128" t="s">
        <v>966</v>
      </c>
      <c r="F45" s="61"/>
      <c r="G45" s="61" t="str">
        <f>_xlfn.IFS(F45&lt;1," Verifier le score",F45&gt;4," Verifier le score",F45=$D$26,$E$26,F45=$D$27,$E$27,F45=$D$28,$E$28,F45=$D$29,$E$29,F45=#REF!,#REF!)</f>
        <v xml:space="preserve"> Verifier le score</v>
      </c>
      <c r="H45" s="61"/>
      <c r="I45" s="61"/>
      <c r="J45" s="61"/>
      <c r="K45" s="130" t="s">
        <v>1057</v>
      </c>
      <c r="L45" s="77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>
      <c r="A46" s="73"/>
      <c r="B46" s="187"/>
      <c r="C46" s="145" t="s">
        <v>1063</v>
      </c>
      <c r="D46" s="145" t="s">
        <v>1025</v>
      </c>
      <c r="E46" s="128" t="s">
        <v>967</v>
      </c>
      <c r="F46" s="61"/>
      <c r="G46" s="61" t="str">
        <f>_xlfn.IFS(F46&lt;1," Verifier le score",F46&gt;4," Verifier le score",F46=$D$26,$E$26,F46=$D$27,$E$27,F46=$D$28,$E$28,F46=$D$29,$E$29,F46=#REF!,#REF!)</f>
        <v xml:space="preserve"> Verifier le score</v>
      </c>
      <c r="H46" s="61"/>
      <c r="I46" s="61"/>
      <c r="J46" s="61"/>
      <c r="K46" s="130" t="s">
        <v>1057</v>
      </c>
      <c r="L46" s="77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>
      <c r="A47" s="73"/>
      <c r="B47" s="187"/>
      <c r="C47" s="145" t="s">
        <v>1059</v>
      </c>
      <c r="D47" s="145" t="s">
        <v>1026</v>
      </c>
      <c r="E47" s="128" t="s">
        <v>968</v>
      </c>
      <c r="F47" s="61"/>
      <c r="G47" s="61" t="str">
        <f>_xlfn.IFS(F47&lt;1," Verifier le score",F47&gt;4," Verifier le score",F47=$D$26,$E$26,F47=$D$27,$E$27,F47=$D$28,$E$28,F47=$D$29,$E$29,F47=#REF!,#REF!)</f>
        <v xml:space="preserve"> Verifier le score</v>
      </c>
      <c r="H47" s="61"/>
      <c r="I47" s="61"/>
      <c r="J47" s="61"/>
      <c r="K47" s="130" t="s">
        <v>1057</v>
      </c>
      <c r="L47" s="77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 thickBot="1">
      <c r="A48" s="73"/>
      <c r="B48" s="188"/>
      <c r="C48" s="146" t="s">
        <v>1059</v>
      </c>
      <c r="D48" s="146" t="s">
        <v>1027</v>
      </c>
      <c r="E48" s="131" t="s">
        <v>969</v>
      </c>
      <c r="F48" s="132"/>
      <c r="G48" s="132" t="str">
        <f>_xlfn.IFS(F48&lt;1," Verifier le score",F48&gt;4," Verifier le score",F48=$D$26,$E$26,F48=$D$27,$E$27,F48=$D$28,$E$28,F48=$D$29,$E$29,F48=#REF!,#REF!)</f>
        <v xml:space="preserve"> Verifier le score</v>
      </c>
      <c r="H48" s="132"/>
      <c r="I48" s="132"/>
      <c r="J48" s="132"/>
      <c r="K48" s="133" t="s">
        <v>1057</v>
      </c>
      <c r="L48" s="77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23.25" customHeight="1">
      <c r="A49" s="73"/>
      <c r="B49" s="186" t="s">
        <v>970</v>
      </c>
      <c r="C49" s="141" t="s">
        <v>1068</v>
      </c>
      <c r="D49" s="141" t="s">
        <v>1028</v>
      </c>
      <c r="E49" s="142" t="s">
        <v>1107</v>
      </c>
      <c r="F49" s="143"/>
      <c r="G49" s="143" t="str">
        <f>_xlfn.IFS(F49&lt;1," Verifier le score",F49&gt;4," Verifier le score",F49=$D$26,$E$26,F49=$D$27,$E$27,F49=$D$28,$E$28,F49=$D$29,$E$29,F49=#REF!,#REF!)</f>
        <v xml:space="preserve"> Verifier le score</v>
      </c>
      <c r="H49" s="143"/>
      <c r="I49" s="143"/>
      <c r="J49" s="143"/>
      <c r="K49" s="144" t="s">
        <v>1057</v>
      </c>
      <c r="L49" s="77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>
      <c r="A50" s="73"/>
      <c r="B50" s="187"/>
      <c r="C50" s="145" t="s">
        <v>1069</v>
      </c>
      <c r="D50" s="145" t="s">
        <v>1029</v>
      </c>
      <c r="E50" s="128" t="s">
        <v>971</v>
      </c>
      <c r="F50" s="61"/>
      <c r="G50" s="61" t="str">
        <f>_xlfn.IFS(F50&lt;1," Verifier le score",F50&gt;4," Verifier le score",F50=$D$26,$E$26,F50=$D$27,$E$27,F50=$D$28,$E$28,F50=$D$29,$E$29,F50=#REF!,#REF!)</f>
        <v xml:space="preserve"> Verifier le score</v>
      </c>
      <c r="H50" s="61"/>
      <c r="I50" s="61"/>
      <c r="J50" s="61"/>
      <c r="K50" s="130" t="s">
        <v>1057</v>
      </c>
      <c r="L50" s="77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>
      <c r="A51" s="73"/>
      <c r="B51" s="187"/>
      <c r="C51" s="145" t="s">
        <v>1059</v>
      </c>
      <c r="D51" s="145" t="s">
        <v>1030</v>
      </c>
      <c r="E51" s="128" t="s">
        <v>972</v>
      </c>
      <c r="F51" s="61"/>
      <c r="G51" s="61" t="str">
        <f>_xlfn.IFS(F51&lt;1," Verifier le score",F51&gt;4," Verifier le score",F51=$D$26,$E$26,F51=$D$27,$E$27,F51=$D$28,$E$28,F51=$D$29,$E$29,F51=#REF!,#REF!)</f>
        <v xml:space="preserve"> Verifier le score</v>
      </c>
      <c r="H51" s="61"/>
      <c r="I51" s="61"/>
      <c r="J51" s="61"/>
      <c r="K51" s="130" t="s">
        <v>1057</v>
      </c>
      <c r="L51" s="77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>
      <c r="A52" s="73"/>
      <c r="B52" s="187"/>
      <c r="C52" s="145" t="s">
        <v>1070</v>
      </c>
      <c r="D52" s="145" t="s">
        <v>1031</v>
      </c>
      <c r="E52" s="128" t="s">
        <v>973</v>
      </c>
      <c r="F52" s="61"/>
      <c r="G52" s="61" t="str">
        <f>_xlfn.IFS(F52&lt;1," Verifier le score",F52&gt;4," Verifier le score",F52=$D$26,$E$26,F52=$D$27,$E$27,F52=$D$28,$E$28,F52=$D$29,$E$29,F52=#REF!,#REF!)</f>
        <v xml:space="preserve"> Verifier le score</v>
      </c>
      <c r="H52" s="61"/>
      <c r="I52" s="61"/>
      <c r="J52" s="61"/>
      <c r="K52" s="130" t="s">
        <v>1057</v>
      </c>
      <c r="L52" s="77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thickBot="1">
      <c r="A53" s="73"/>
      <c r="B53" s="188"/>
      <c r="C53" s="146" t="s">
        <v>1059</v>
      </c>
      <c r="D53" s="146" t="s">
        <v>1032</v>
      </c>
      <c r="E53" s="131" t="s">
        <v>974</v>
      </c>
      <c r="F53" s="132"/>
      <c r="G53" s="132" t="str">
        <f>_xlfn.IFS(F53&lt;1," Verifier le score",F53&gt;4," Verifier le score",F53=$D$26,$E$26,F53=$D$27,$E$27,F53=$D$28,$E$28,F53=$D$29,$E$29,F53=#REF!,#REF!)</f>
        <v xml:space="preserve"> Verifier le score</v>
      </c>
      <c r="H53" s="132"/>
      <c r="I53" s="132"/>
      <c r="J53" s="132"/>
      <c r="K53" s="133" t="s">
        <v>1057</v>
      </c>
      <c r="L53" s="77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23.25" customHeight="1">
      <c r="A54" s="73"/>
      <c r="B54" s="186" t="s">
        <v>975</v>
      </c>
      <c r="C54" s="141" t="s">
        <v>1071</v>
      </c>
      <c r="D54" s="141" t="s">
        <v>1033</v>
      </c>
      <c r="E54" s="142" t="s">
        <v>976</v>
      </c>
      <c r="F54" s="143"/>
      <c r="G54" s="143" t="str">
        <f>_xlfn.IFS(F54&lt;1," Verifier le score",F54&gt;4," Verifier le score",F54=$D$26,$E$26,F54=$D$27,$E$27,F54=$D$28,$E$28,F54=$D$29,$E$29,F54=#REF!,#REF!)</f>
        <v xml:space="preserve"> Verifier le score</v>
      </c>
      <c r="H54" s="143"/>
      <c r="I54" s="143"/>
      <c r="J54" s="143"/>
      <c r="K54" s="144" t="s">
        <v>1057</v>
      </c>
      <c r="L54" s="77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>
      <c r="A55" s="73"/>
      <c r="B55" s="187"/>
      <c r="C55" s="145" t="s">
        <v>1071</v>
      </c>
      <c r="D55" s="145" t="s">
        <v>1034</v>
      </c>
      <c r="E55" s="128" t="s">
        <v>977</v>
      </c>
      <c r="F55" s="61"/>
      <c r="G55" s="61" t="str">
        <f>_xlfn.IFS(F55&lt;1," Verifier le score",F55&gt;4," Verifier le score",F55=$D$26,$E$26,F55=$D$27,$E$27,F55=$D$28,$E$28,F55=$D$29,$E$29,F55=#REF!,#REF!)</f>
        <v xml:space="preserve"> Verifier le score</v>
      </c>
      <c r="H55" s="61"/>
      <c r="I55" s="61"/>
      <c r="J55" s="61"/>
      <c r="K55" s="130" t="s">
        <v>1057</v>
      </c>
      <c r="L55" s="77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>
      <c r="A56" s="73"/>
      <c r="B56" s="187"/>
      <c r="C56" s="145" t="s">
        <v>1069</v>
      </c>
      <c r="D56" s="145" t="s">
        <v>1035</v>
      </c>
      <c r="E56" s="128" t="s">
        <v>978</v>
      </c>
      <c r="F56" s="61"/>
      <c r="G56" s="61" t="str">
        <f>_xlfn.IFS(F56&lt;1," Verifier le score",F56&gt;4," Verifier le score",F56=$D$26,$E$26,F56=$D$27,$E$27,F56=$D$28,$E$28,F56=$D$29,$E$29,F56=#REF!,#REF!)</f>
        <v xml:space="preserve"> Verifier le score</v>
      </c>
      <c r="H56" s="61"/>
      <c r="I56" s="61"/>
      <c r="J56" s="61"/>
      <c r="K56" s="130" t="s">
        <v>1057</v>
      </c>
      <c r="L56" s="77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>
      <c r="A57" s="73"/>
      <c r="B57" s="187"/>
      <c r="C57" s="145" t="s">
        <v>1071</v>
      </c>
      <c r="D57" s="145" t="s">
        <v>1036</v>
      </c>
      <c r="E57" s="128" t="s">
        <v>979</v>
      </c>
      <c r="F57" s="61"/>
      <c r="G57" s="61" t="str">
        <f>_xlfn.IFS(F57&lt;1," Verifier le score",F57&gt;4," Verifier le score",F57=$D$26,$E$26,F57=$D$27,$E$27,F57=$D$28,$E$28,F57=$D$29,$E$29,F57=#REF!,#REF!)</f>
        <v xml:space="preserve"> Verifier le score</v>
      </c>
      <c r="H57" s="61"/>
      <c r="I57" s="61"/>
      <c r="J57" s="61"/>
      <c r="K57" s="130" t="s">
        <v>1057</v>
      </c>
      <c r="L57" s="77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 thickBot="1">
      <c r="A58" s="73"/>
      <c r="B58" s="188"/>
      <c r="C58" s="146" t="s">
        <v>1071</v>
      </c>
      <c r="D58" s="146" t="s">
        <v>1037</v>
      </c>
      <c r="E58" s="131" t="s">
        <v>980</v>
      </c>
      <c r="F58" s="132"/>
      <c r="G58" s="132" t="str">
        <f>_xlfn.IFS(F58&lt;1," Verifier le score",F58&gt;4," Verifier le score",F58=$D$26,$E$26,F58=$D$27,$E$27,F58=$D$28,$E$28,F58=$D$29,$E$29,F58=#REF!,#REF!)</f>
        <v xml:space="preserve"> Verifier le score</v>
      </c>
      <c r="H58" s="132"/>
      <c r="I58" s="132"/>
      <c r="J58" s="132"/>
      <c r="K58" s="133" t="s">
        <v>1057</v>
      </c>
      <c r="L58" s="77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23.25" customHeight="1">
      <c r="A59" s="73"/>
      <c r="B59" s="186" t="s">
        <v>981</v>
      </c>
      <c r="C59" s="141" t="s">
        <v>1072</v>
      </c>
      <c r="D59" s="141" t="s">
        <v>1038</v>
      </c>
      <c r="E59" s="142" t="s">
        <v>982</v>
      </c>
      <c r="F59" s="143"/>
      <c r="G59" s="143" t="str">
        <f>_xlfn.IFS(F59&lt;1," Verifier le score",F59&gt;4," Verifier le score",F59=$D$26,$E$26,F59=$D$27,$E$27,F59=$D$28,$E$28,F59=$D$29,$E$29,F59=#REF!,#REF!)</f>
        <v xml:space="preserve"> Verifier le score</v>
      </c>
      <c r="H59" s="143"/>
      <c r="I59" s="143"/>
      <c r="J59" s="143"/>
      <c r="K59" s="144" t="s">
        <v>1057</v>
      </c>
      <c r="L59" s="77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>
      <c r="A60" s="73"/>
      <c r="B60" s="187"/>
      <c r="C60" s="145" t="s">
        <v>1072</v>
      </c>
      <c r="D60" s="145" t="s">
        <v>1039</v>
      </c>
      <c r="E60" s="128" t="s">
        <v>983</v>
      </c>
      <c r="F60" s="61"/>
      <c r="G60" s="61" t="str">
        <f>_xlfn.IFS(F60&lt;1," Verifier le score",F60&gt;4," Verifier le score",F60=$D$26,$E$26,F60=$D$27,$E$27,F60=$D$28,$E$28,F60=$D$29,$E$29,F60=#REF!,#REF!)</f>
        <v xml:space="preserve"> Verifier le score</v>
      </c>
      <c r="H60" s="61"/>
      <c r="I60" s="61"/>
      <c r="J60" s="61"/>
      <c r="K60" s="130" t="s">
        <v>1057</v>
      </c>
      <c r="L60" s="77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>
      <c r="A61" s="73"/>
      <c r="B61" s="187"/>
      <c r="C61" s="145" t="s">
        <v>1072</v>
      </c>
      <c r="D61" s="145" t="s">
        <v>1040</v>
      </c>
      <c r="E61" s="128" t="s">
        <v>984</v>
      </c>
      <c r="F61" s="61"/>
      <c r="G61" s="61" t="str">
        <f>_xlfn.IFS(F61&lt;1," Verifier le score",F61&gt;4," Verifier le score",F61=$D$26,$E$26,F61=$D$27,$E$27,F61=$D$28,$E$28,F61=$D$29,$E$29,F61=#REF!,#REF!)</f>
        <v xml:space="preserve"> Verifier le score</v>
      </c>
      <c r="H61" s="61"/>
      <c r="I61" s="61"/>
      <c r="J61" s="61"/>
      <c r="K61" s="130" t="s">
        <v>1057</v>
      </c>
      <c r="L61" s="77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>
      <c r="A62" s="73"/>
      <c r="B62" s="187"/>
      <c r="C62" s="145" t="s">
        <v>1069</v>
      </c>
      <c r="D62" s="145" t="s">
        <v>1041</v>
      </c>
      <c r="E62" s="128" t="s">
        <v>985</v>
      </c>
      <c r="F62" s="61"/>
      <c r="G62" s="61" t="str">
        <f>_xlfn.IFS(F62&lt;1," Verifier le score",F62&gt;4," Verifier le score",F62=$D$26,$E$26,F62=$D$27,$E$27,F62=$D$28,$E$28,F62=$D$29,$E$29,F62=#REF!,#REF!)</f>
        <v xml:space="preserve"> Verifier le score</v>
      </c>
      <c r="H62" s="61"/>
      <c r="I62" s="61"/>
      <c r="J62" s="61"/>
      <c r="K62" s="130" t="s">
        <v>1057</v>
      </c>
      <c r="L62" s="77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 thickBot="1">
      <c r="A63" s="73"/>
      <c r="B63" s="188"/>
      <c r="C63" s="146" t="s">
        <v>1072</v>
      </c>
      <c r="D63" s="146" t="s">
        <v>1042</v>
      </c>
      <c r="E63" s="131" t="s">
        <v>986</v>
      </c>
      <c r="F63" s="132"/>
      <c r="G63" s="132" t="str">
        <f>_xlfn.IFS(F63&lt;1," Verifier le score",F63&gt;4," Verifier le score",F63=$D$26,$E$26,F63=$D$27,$E$27,F63=$D$28,$E$28,F63=$D$29,$E$29,F63=#REF!,#REF!)</f>
        <v xml:space="preserve"> Verifier le score</v>
      </c>
      <c r="H63" s="132"/>
      <c r="I63" s="132"/>
      <c r="J63" s="132"/>
      <c r="K63" s="133" t="s">
        <v>1057</v>
      </c>
      <c r="L63" s="77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23.25" customHeight="1">
      <c r="A64" s="73"/>
      <c r="B64" s="186" t="s">
        <v>987</v>
      </c>
      <c r="C64" s="141" t="s">
        <v>1070</v>
      </c>
      <c r="D64" s="141" t="s">
        <v>1043</v>
      </c>
      <c r="E64" s="142" t="s">
        <v>988</v>
      </c>
      <c r="F64" s="143"/>
      <c r="G64" s="143" t="str">
        <f>_xlfn.IFS(F64&lt;1," Verifier le score",F64&gt;4," Verifier le score",F64=$D$26,$E$26,F64=$D$27,$E$27,F64=$D$28,$E$28,F64=$D$29,$E$29,F64=#REF!,#REF!)</f>
        <v xml:space="preserve"> Verifier le score</v>
      </c>
      <c r="H64" s="143"/>
      <c r="I64" s="143"/>
      <c r="J64" s="143"/>
      <c r="K64" s="144" t="s">
        <v>1057</v>
      </c>
      <c r="L64" s="77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>
      <c r="A65" s="73"/>
      <c r="B65" s="187"/>
      <c r="C65" s="145" t="s">
        <v>1070</v>
      </c>
      <c r="D65" s="145" t="s">
        <v>1044</v>
      </c>
      <c r="E65" s="128" t="s">
        <v>989</v>
      </c>
      <c r="F65" s="61"/>
      <c r="G65" s="61" t="str">
        <f>_xlfn.IFS(F65&lt;1," Verifier le score",F65&gt;4," Verifier le score",F65=$D$26,$E$26,F65=$D$27,$E$27,F65=$D$28,$E$28,F65=$D$29,$E$29,F65=#REF!,#REF!)</f>
        <v xml:space="preserve"> Verifier le score</v>
      </c>
      <c r="H65" s="61"/>
      <c r="I65" s="61"/>
      <c r="J65" s="61"/>
      <c r="K65" s="130" t="s">
        <v>1057</v>
      </c>
      <c r="L65" s="77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>
      <c r="A66" s="73"/>
      <c r="B66" s="187"/>
      <c r="C66" s="145" t="s">
        <v>1070</v>
      </c>
      <c r="D66" s="145" t="s">
        <v>1045</v>
      </c>
      <c r="E66" s="128" t="s">
        <v>990</v>
      </c>
      <c r="F66" s="61"/>
      <c r="G66" s="61" t="str">
        <f>_xlfn.IFS(F66&lt;1," Verifier le score",F66&gt;4," Verifier le score",F66=$D$26,$E$26,F66=$D$27,$E$27,F66=$D$28,$E$28,F66=$D$29,$E$29,F66=#REF!,#REF!)</f>
        <v xml:space="preserve"> Verifier le score</v>
      </c>
      <c r="H66" s="61"/>
      <c r="I66" s="61"/>
      <c r="J66" s="61"/>
      <c r="K66" s="130" t="s">
        <v>1057</v>
      </c>
      <c r="L66" s="77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>
      <c r="A67" s="73"/>
      <c r="B67" s="187"/>
      <c r="C67" s="145" t="s">
        <v>1073</v>
      </c>
      <c r="D67" s="145" t="s">
        <v>1096</v>
      </c>
      <c r="E67" s="128" t="s">
        <v>1097</v>
      </c>
      <c r="F67" s="61"/>
      <c r="G67" s="61" t="str">
        <f>_xlfn.IFS(F67&lt;1," Verifier le score",F67&gt;4," Verifier le score",F67=$D$26,$E$26,F67=$D$27,$E$27,F67=$D$28,$E$28,F67=$D$29,$E$29,F67=#REF!,#REF!)</f>
        <v xml:space="preserve"> Verifier le score</v>
      </c>
      <c r="H67" s="61"/>
      <c r="I67" s="61"/>
      <c r="J67" s="61"/>
      <c r="K67" s="130" t="s">
        <v>1057</v>
      </c>
      <c r="L67" s="77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 thickBot="1">
      <c r="A68" s="73"/>
      <c r="B68" s="188"/>
      <c r="C68" s="146" t="s">
        <v>1069</v>
      </c>
      <c r="D68" s="146" t="s">
        <v>1046</v>
      </c>
      <c r="E68" s="131" t="s">
        <v>991</v>
      </c>
      <c r="F68" s="132"/>
      <c r="G68" s="132" t="str">
        <f>_xlfn.IFS(F68&lt;1," Verifier le score",F68&gt;4," Verifier le score",F68=$D$26,$E$26,F68=$D$27,$E$27,F68=$D$28,$E$28,F68=$D$29,$E$29,F68=#REF!,#REF!)</f>
        <v xml:space="preserve"> Verifier le score</v>
      </c>
      <c r="H68" s="132"/>
      <c r="I68" s="132"/>
      <c r="J68" s="132"/>
      <c r="K68" s="133" t="s">
        <v>1057</v>
      </c>
      <c r="L68" s="77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23.25" customHeight="1">
      <c r="A69" s="73"/>
      <c r="B69" s="189" t="s">
        <v>992</v>
      </c>
      <c r="C69" s="141" t="s">
        <v>1069</v>
      </c>
      <c r="D69" s="141" t="s">
        <v>1047</v>
      </c>
      <c r="E69" s="142" t="s">
        <v>1098</v>
      </c>
      <c r="F69" s="143"/>
      <c r="G69" s="143" t="str">
        <f>_xlfn.IFS(F69&lt;1," Verifier le score",F69&gt;4," Verifier le score",F69=$D$26,$E$26,F69=$D$27,$E$27,F69=$D$28,$E$28,F69=$D$29,$E$29,F69=#REF!,#REF!)</f>
        <v xml:space="preserve"> Verifier le score</v>
      </c>
      <c r="H69" s="143"/>
      <c r="I69" s="143"/>
      <c r="J69" s="143"/>
      <c r="K69" s="144" t="s">
        <v>1057</v>
      </c>
      <c r="L69" s="77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>
      <c r="A70" s="73"/>
      <c r="B70" s="190"/>
      <c r="C70" s="145" t="s">
        <v>1069</v>
      </c>
      <c r="D70" s="145" t="s">
        <v>1048</v>
      </c>
      <c r="E70" s="128" t="s">
        <v>993</v>
      </c>
      <c r="F70" s="61"/>
      <c r="G70" s="61" t="str">
        <f>_xlfn.IFS(F70&lt;1," Verifier le score",F70&gt;4," Verifier le score",F70=$D$26,$E$26,F70=$D$27,$E$27,F70=$D$28,$E$28,F70=$D$29,$E$29,F70=#REF!,#REF!)</f>
        <v xml:space="preserve"> Verifier le score</v>
      </c>
      <c r="H70" s="61"/>
      <c r="I70" s="61"/>
      <c r="J70" s="61"/>
      <c r="K70" s="130" t="s">
        <v>1057</v>
      </c>
      <c r="L70" s="77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>
      <c r="A71" s="73"/>
      <c r="B71" s="190"/>
      <c r="C71" s="145" t="s">
        <v>1074</v>
      </c>
      <c r="D71" s="145" t="s">
        <v>1049</v>
      </c>
      <c r="E71" s="128" t="s">
        <v>994</v>
      </c>
      <c r="F71" s="61"/>
      <c r="G71" s="61" t="str">
        <f>_xlfn.IFS(F71&lt;1," Verifier le score",F71&gt;4," Verifier le score",F71=$D$26,$E$26,F71=$D$27,$E$27,F71=$D$28,$E$28,F71=$D$29,$E$29,F71=#REF!,#REF!)</f>
        <v xml:space="preserve"> Verifier le score</v>
      </c>
      <c r="H71" s="61"/>
      <c r="I71" s="61"/>
      <c r="J71" s="61"/>
      <c r="K71" s="130" t="s">
        <v>1057</v>
      </c>
      <c r="L71" s="77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>
      <c r="A72" s="73"/>
      <c r="B72" s="190"/>
      <c r="C72" s="145" t="s">
        <v>1069</v>
      </c>
      <c r="D72" s="145" t="s">
        <v>1050</v>
      </c>
      <c r="E72" s="128" t="s">
        <v>995</v>
      </c>
      <c r="F72" s="61"/>
      <c r="G72" s="61" t="str">
        <f>_xlfn.IFS(F72&lt;1," Verifier le score",F72&gt;4," Verifier le score",F72=$D$26,$E$26,F72=$D$27,$E$27,F72=$D$28,$E$28,F72=$D$29,$E$29,F72=#REF!,#REF!)</f>
        <v xml:space="preserve"> Verifier le score</v>
      </c>
      <c r="H72" s="61"/>
      <c r="I72" s="61"/>
      <c r="J72" s="61"/>
      <c r="K72" s="130" t="s">
        <v>1057</v>
      </c>
      <c r="L72" s="77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 thickBot="1">
      <c r="A73" s="73"/>
      <c r="B73" s="191"/>
      <c r="C73" s="146" t="s">
        <v>1060</v>
      </c>
      <c r="D73" s="146" t="s">
        <v>1051</v>
      </c>
      <c r="E73" s="131" t="s">
        <v>996</v>
      </c>
      <c r="F73" s="132"/>
      <c r="G73" s="132" t="str">
        <f>_xlfn.IFS(F73&lt;1," Verifier le score",F73&gt;4," Verifier le score",F73=$D$26,$E$26,F73=$D$27,$E$27,F73=$D$28,$E$28,F73=$D$29,$E$29,F73=#REF!,#REF!)</f>
        <v xml:space="preserve"> Verifier le score</v>
      </c>
      <c r="H73" s="132"/>
      <c r="I73" s="132"/>
      <c r="J73" s="132"/>
      <c r="K73" s="133" t="s">
        <v>1057</v>
      </c>
      <c r="L73" s="77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23.25" customHeight="1">
      <c r="A74" s="73"/>
      <c r="B74" s="186" t="s">
        <v>997</v>
      </c>
      <c r="C74" s="141" t="s">
        <v>1075</v>
      </c>
      <c r="D74" s="141" t="s">
        <v>1101</v>
      </c>
      <c r="E74" s="142" t="s">
        <v>1102</v>
      </c>
      <c r="F74" s="143"/>
      <c r="G74" s="143" t="str">
        <f>_xlfn.IFS(F74&lt;1," Verifier le score",F74&gt;4," Verifier le score",F74=$D$26,$E$26,F74=$D$27,$E$27,F74=$D$28,$E$28,F74=$D$29,$E$29,F74=#REF!,#REF!)</f>
        <v xml:space="preserve"> Verifier le score</v>
      </c>
      <c r="H74" s="143"/>
      <c r="I74" s="143"/>
      <c r="J74" s="143"/>
      <c r="K74" s="144" t="s">
        <v>1057</v>
      </c>
      <c r="L74" s="77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>
      <c r="A75" s="73"/>
      <c r="B75" s="187"/>
      <c r="C75" s="145" t="s">
        <v>1069</v>
      </c>
      <c r="D75" s="145" t="s">
        <v>1052</v>
      </c>
      <c r="E75" s="128" t="s">
        <v>998</v>
      </c>
      <c r="F75" s="61"/>
      <c r="G75" s="61" t="str">
        <f>_xlfn.IFS(F75&lt;1," Verifier le score",F75&gt;4," Verifier le score",F75=$D$26,$E$26,F75=$D$27,$E$27,F75=$D$28,$E$28,F75=$D$29,$E$29,F75=#REF!,#REF!)</f>
        <v xml:space="preserve"> Verifier le score</v>
      </c>
      <c r="H75" s="61"/>
      <c r="I75" s="61"/>
      <c r="J75" s="61"/>
      <c r="K75" s="130" t="s">
        <v>1057</v>
      </c>
      <c r="L75" s="77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>
      <c r="A76" s="73"/>
      <c r="B76" s="187"/>
      <c r="C76" s="145" t="s">
        <v>1075</v>
      </c>
      <c r="D76" s="145" t="s">
        <v>1053</v>
      </c>
      <c r="E76" s="128" t="s">
        <v>999</v>
      </c>
      <c r="F76" s="61"/>
      <c r="G76" s="61" t="str">
        <f>_xlfn.IFS(F76&lt;1," Verifier le score",F76&gt;4," Verifier le score",F76=$D$26,$E$26,F76=$D$27,$E$27,F76=$D$28,$E$28,F76=$D$29,$E$29,F76=#REF!,#REF!)</f>
        <v xml:space="preserve"> Verifier le score</v>
      </c>
      <c r="H76" s="61"/>
      <c r="I76" s="61"/>
      <c r="J76" s="61"/>
      <c r="K76" s="130" t="s">
        <v>1057</v>
      </c>
      <c r="L76" s="77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>
      <c r="A77" s="73"/>
      <c r="B77" s="187"/>
      <c r="C77" s="145" t="s">
        <v>1059</v>
      </c>
      <c r="D77" s="145" t="s">
        <v>1054</v>
      </c>
      <c r="E77" s="128" t="s">
        <v>1000</v>
      </c>
      <c r="F77" s="61"/>
      <c r="G77" s="61" t="str">
        <f>_xlfn.IFS(F77&lt;1," Verifier le score",F77&gt;4," Verifier le score",F77=$D$26,$E$26,F77=$D$27,$E$27,F77=$D$28,$E$28,F77=$D$29,$E$29,F77=#REF!,#REF!)</f>
        <v xml:space="preserve"> Verifier le score</v>
      </c>
      <c r="H77" s="61"/>
      <c r="I77" s="61"/>
      <c r="J77" s="61"/>
      <c r="K77" s="130" t="s">
        <v>1057</v>
      </c>
      <c r="L77" s="77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 thickBot="1">
      <c r="A78" s="73"/>
      <c r="B78" s="188"/>
      <c r="C78" s="146" t="s">
        <v>1059</v>
      </c>
      <c r="D78" s="146" t="s">
        <v>1103</v>
      </c>
      <c r="E78" s="131" t="s">
        <v>1001</v>
      </c>
      <c r="F78" s="132"/>
      <c r="G78" s="132" t="str">
        <f>_xlfn.IFS(F78&lt;1," Verifier le score",F78&gt;4," Verifier le score",F78=$D$26,$E$26,F78=$D$27,$E$27,F78=$D$28,$E$28,F78=$D$29,$E$29,F78=#REF!,#REF!)</f>
        <v xml:space="preserve"> Verifier le score</v>
      </c>
      <c r="H78" s="132"/>
      <c r="I78" s="132"/>
      <c r="J78" s="132"/>
      <c r="K78" s="133" t="s">
        <v>1057</v>
      </c>
      <c r="L78" s="81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>
      <c r="A79" s="73"/>
      <c r="B79" s="73"/>
      <c r="C79" s="73"/>
      <c r="D79" s="147"/>
      <c r="E79" s="147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</sheetData>
  <autoFilter ref="B33:L33" xr:uid="{DC1830EC-F2AC-48AD-9D8E-AD7D4BADE9B1}"/>
  <mergeCells count="11">
    <mergeCell ref="D25:E25"/>
    <mergeCell ref="F25:G25"/>
    <mergeCell ref="B64:B68"/>
    <mergeCell ref="B69:B73"/>
    <mergeCell ref="B74:B78"/>
    <mergeCell ref="B34:B38"/>
    <mergeCell ref="B39:B43"/>
    <mergeCell ref="B44:B48"/>
    <mergeCell ref="B49:B53"/>
    <mergeCell ref="B54:B58"/>
    <mergeCell ref="B59:B63"/>
  </mergeCells>
  <dataValidations count="4">
    <dataValidation type="list" allowBlank="1" showInputMessage="1" showErrorMessage="1" sqref="D14:F15" xr:uid="{C7D73E75-90EC-441E-BF3C-4DC5A3B993F9}">
      <formula1>$B$34:$B$78</formula1>
    </dataValidation>
    <dataValidation type="list" allowBlank="1" showInputMessage="1" showErrorMessage="1" sqref="F34:F78" xr:uid="{919B8685-468C-4D5E-A503-BEDB3BF23378}">
      <formula1>$D$26:$D$29</formula1>
    </dataValidation>
    <dataValidation type="list" allowBlank="1" showInputMessage="1" showErrorMessage="1" sqref="K34:K78" xr:uid="{F88C729A-7BDE-4DAE-8721-D72C5BCB7712}">
      <formula1>$G$26:$G$27</formula1>
    </dataValidation>
    <dataValidation type="list" allowBlank="1" showInputMessage="1" showErrorMessage="1" sqref="C7" xr:uid="{90D8410B-3EAE-4CE6-AEBE-737F3560EDA7}">
      <formula1>$C$11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232"/>
  <sheetViews>
    <sheetView topLeftCell="A211" zoomScale="55" zoomScaleNormal="55" workbookViewId="0">
      <selection activeCell="D18" sqref="D18"/>
    </sheetView>
  </sheetViews>
  <sheetFormatPr baseColWidth="10" defaultColWidth="11" defaultRowHeight="15"/>
  <cols>
    <col min="1" max="1" width="11" style="73"/>
    <col min="2" max="2" width="55.42578125" style="73" customWidth="1"/>
    <col min="3" max="3" width="46.140625" style="73" customWidth="1"/>
    <col min="4" max="4" width="46.28515625" style="73" customWidth="1"/>
    <col min="5" max="5" width="84.7109375" style="73" customWidth="1"/>
    <col min="6" max="6" width="27.28515625" style="73" customWidth="1"/>
    <col min="7" max="7" width="49.5703125" style="73" customWidth="1"/>
    <col min="8" max="8" width="40.85546875" style="73" customWidth="1"/>
    <col min="9" max="9" width="33" style="73" customWidth="1"/>
    <col min="10" max="16384" width="11" style="73"/>
  </cols>
  <sheetData>
    <row r="3" spans="2:11" ht="15.75" thickBot="1"/>
    <row r="4" spans="2:11" ht="30.75" thickBot="1">
      <c r="B4" s="74" t="s">
        <v>569</v>
      </c>
      <c r="C4" s="75"/>
      <c r="D4" s="75"/>
      <c r="E4" s="75"/>
      <c r="F4" s="75"/>
      <c r="G4" s="75"/>
      <c r="H4" s="75"/>
      <c r="I4" s="75"/>
      <c r="J4" s="75"/>
      <c r="K4" s="76"/>
    </row>
    <row r="5" spans="2:11">
      <c r="B5" s="60" t="s">
        <v>1110</v>
      </c>
      <c r="C5" s="59"/>
      <c r="D5" s="59"/>
      <c r="E5" s="59"/>
      <c r="F5" s="59"/>
      <c r="G5" s="59"/>
      <c r="H5" s="59"/>
      <c r="I5" s="59"/>
      <c r="J5" s="59"/>
      <c r="K5" s="77"/>
    </row>
    <row r="6" spans="2:11">
      <c r="B6" s="60"/>
      <c r="C6" s="59"/>
      <c r="D6" s="59"/>
      <c r="E6" s="59"/>
      <c r="F6" s="59"/>
      <c r="G6" s="59"/>
      <c r="H6" s="59"/>
      <c r="I6" s="59"/>
      <c r="J6" s="59"/>
      <c r="K6" s="77"/>
    </row>
    <row r="7" spans="2:11" ht="120">
      <c r="B7" s="33" t="s">
        <v>1129</v>
      </c>
      <c r="C7" s="163" t="s">
        <v>1081</v>
      </c>
      <c r="D7" s="59"/>
      <c r="E7" s="59"/>
      <c r="F7" s="59"/>
      <c r="G7" s="59"/>
      <c r="H7" s="59"/>
      <c r="I7" s="59"/>
      <c r="J7" s="59"/>
      <c r="K7" s="77"/>
    </row>
    <row r="8" spans="2:11">
      <c r="B8" s="60"/>
      <c r="C8" s="59"/>
      <c r="D8" s="59"/>
      <c r="E8" s="59"/>
      <c r="F8" s="59"/>
      <c r="G8" s="59"/>
      <c r="H8" s="59"/>
      <c r="I8" s="59"/>
      <c r="J8" s="59"/>
      <c r="K8" s="77"/>
    </row>
    <row r="9" spans="2:11">
      <c r="B9" s="60"/>
      <c r="C9" s="59"/>
      <c r="D9" s="59"/>
      <c r="E9" s="59"/>
      <c r="F9" s="59"/>
      <c r="G9" s="59"/>
      <c r="H9" s="59"/>
      <c r="I9" s="59"/>
      <c r="J9" s="59"/>
      <c r="K9" s="77"/>
    </row>
    <row r="10" spans="2:11" ht="22.5">
      <c r="B10" s="33" t="s">
        <v>1078</v>
      </c>
      <c r="C10" s="78" t="s">
        <v>1116</v>
      </c>
      <c r="D10" s="78" t="s">
        <v>1117</v>
      </c>
      <c r="E10" s="78" t="s">
        <v>1118</v>
      </c>
      <c r="F10" s="78" t="s">
        <v>1114</v>
      </c>
      <c r="G10" s="59"/>
      <c r="H10" s="59"/>
      <c r="I10" s="59"/>
      <c r="J10" s="59"/>
      <c r="K10" s="77"/>
    </row>
    <row r="11" spans="2:11" ht="30">
      <c r="B11" s="50"/>
      <c r="C11" s="70" t="s">
        <v>1084</v>
      </c>
      <c r="D11" s="70" t="s">
        <v>66</v>
      </c>
      <c r="E11" s="71" t="s">
        <v>1111</v>
      </c>
      <c r="F11" s="198" t="s">
        <v>1429</v>
      </c>
      <c r="G11" s="59"/>
      <c r="H11" s="59"/>
      <c r="I11" s="59"/>
      <c r="J11" s="59"/>
      <c r="K11" s="77"/>
    </row>
    <row r="12" spans="2:11" ht="30">
      <c r="B12" s="50"/>
      <c r="C12" s="70" t="s">
        <v>1108</v>
      </c>
      <c r="D12" s="70" t="s">
        <v>15</v>
      </c>
      <c r="E12" s="71" t="s">
        <v>1112</v>
      </c>
      <c r="F12" s="70" t="s">
        <v>1115</v>
      </c>
      <c r="G12" s="59"/>
      <c r="H12" s="59"/>
      <c r="I12" s="59"/>
      <c r="J12" s="59"/>
      <c r="K12" s="77"/>
    </row>
    <row r="13" spans="2:11" ht="30">
      <c r="B13" s="60"/>
      <c r="C13" s="70" t="s">
        <v>1109</v>
      </c>
      <c r="D13" s="70" t="s">
        <v>16</v>
      </c>
      <c r="E13" s="71" t="s">
        <v>1113</v>
      </c>
      <c r="F13" s="71" t="s">
        <v>936</v>
      </c>
      <c r="G13" s="59"/>
      <c r="H13" s="59"/>
      <c r="I13" s="59"/>
      <c r="J13" s="59"/>
      <c r="K13" s="77"/>
    </row>
    <row r="14" spans="2:11">
      <c r="B14" s="60"/>
      <c r="C14" s="59"/>
      <c r="D14" s="59"/>
      <c r="E14" s="59"/>
      <c r="F14" s="59"/>
      <c r="G14" s="59"/>
      <c r="H14" s="59"/>
      <c r="I14" s="59"/>
      <c r="J14" s="59"/>
      <c r="K14" s="77"/>
    </row>
    <row r="15" spans="2:11" ht="15.75" thickBot="1">
      <c r="B15" s="79"/>
      <c r="C15" s="80"/>
      <c r="D15" s="80"/>
      <c r="E15" s="80"/>
      <c r="F15" s="80"/>
      <c r="G15" s="80"/>
      <c r="H15" s="80"/>
      <c r="I15" s="80"/>
      <c r="J15" s="80"/>
      <c r="K15" s="81"/>
    </row>
    <row r="16" spans="2:11" ht="22.5">
      <c r="B16" s="82" t="s">
        <v>570</v>
      </c>
      <c r="C16" s="83"/>
      <c r="D16" s="83"/>
      <c r="E16" s="83"/>
      <c r="F16" s="83"/>
      <c r="G16" s="83"/>
      <c r="H16" s="83"/>
      <c r="I16" s="83"/>
      <c r="J16" s="83"/>
      <c r="K16" s="84"/>
    </row>
    <row r="17" spans="2:11">
      <c r="B17" s="60"/>
      <c r="C17" s="59"/>
      <c r="D17" s="59"/>
      <c r="E17" s="59"/>
      <c r="F17" s="59"/>
      <c r="G17" s="59"/>
      <c r="H17" s="59"/>
      <c r="I17" s="59"/>
      <c r="J17" s="59"/>
      <c r="K17" s="77"/>
    </row>
    <row r="18" spans="2:11" ht="17.25">
      <c r="B18" s="85" t="s">
        <v>571</v>
      </c>
      <c r="C18" s="86"/>
      <c r="D18" s="86"/>
      <c r="E18" s="86"/>
      <c r="F18" s="86"/>
      <c r="G18" s="86"/>
      <c r="H18" s="86"/>
      <c r="I18" s="86"/>
      <c r="J18" s="86"/>
      <c r="K18" s="87"/>
    </row>
    <row r="19" spans="2:11">
      <c r="B19" s="60"/>
      <c r="C19" s="59"/>
      <c r="D19" s="59"/>
      <c r="E19" s="59"/>
      <c r="F19" s="59"/>
      <c r="G19" s="59"/>
      <c r="H19" s="59"/>
      <c r="I19" s="59"/>
      <c r="J19" s="59"/>
      <c r="K19" s="77"/>
    </row>
    <row r="20" spans="2:11">
      <c r="B20" s="88" t="s">
        <v>572</v>
      </c>
      <c r="C20" s="72" t="s">
        <v>39</v>
      </c>
      <c r="D20" s="72" t="s">
        <v>493</v>
      </c>
      <c r="E20" s="72" t="s">
        <v>67</v>
      </c>
      <c r="F20" s="72" t="s">
        <v>1119</v>
      </c>
      <c r="G20" s="89" t="s">
        <v>11</v>
      </c>
      <c r="H20" s="89" t="s">
        <v>41</v>
      </c>
      <c r="I20" s="89" t="s">
        <v>42</v>
      </c>
      <c r="J20" s="89" t="s">
        <v>43</v>
      </c>
      <c r="K20" s="90" t="s">
        <v>44</v>
      </c>
    </row>
    <row r="21" spans="2:11" ht="60">
      <c r="B21" s="47" t="s">
        <v>573</v>
      </c>
      <c r="C21" s="43" t="s">
        <v>46</v>
      </c>
      <c r="D21" s="43" t="s">
        <v>574</v>
      </c>
      <c r="E21" s="43" t="s">
        <v>575</v>
      </c>
      <c r="F21" s="43" t="s">
        <v>1109</v>
      </c>
      <c r="G21" s="43" t="s">
        <v>576</v>
      </c>
      <c r="H21" s="43" t="s">
        <v>577</v>
      </c>
      <c r="I21" s="43" t="s">
        <v>62</v>
      </c>
      <c r="J21" s="43" t="s">
        <v>578</v>
      </c>
      <c r="K21" s="91" t="s">
        <v>579</v>
      </c>
    </row>
    <row r="22" spans="2:11" ht="60">
      <c r="B22" s="47" t="s">
        <v>580</v>
      </c>
      <c r="C22" s="43" t="s">
        <v>581</v>
      </c>
      <c r="D22" s="43" t="s">
        <v>582</v>
      </c>
      <c r="E22" s="43" t="s">
        <v>583</v>
      </c>
      <c r="F22" s="43" t="s">
        <v>1109</v>
      </c>
      <c r="G22" s="43" t="s">
        <v>584</v>
      </c>
      <c r="H22" s="43" t="s">
        <v>585</v>
      </c>
      <c r="I22" s="43" t="s">
        <v>581</v>
      </c>
      <c r="J22" s="43" t="s">
        <v>586</v>
      </c>
      <c r="K22" s="91" t="s">
        <v>579</v>
      </c>
    </row>
    <row r="23" spans="2:11" ht="60">
      <c r="B23" s="47" t="s">
        <v>587</v>
      </c>
      <c r="C23" s="43" t="s">
        <v>243</v>
      </c>
      <c r="D23" s="43" t="s">
        <v>588</v>
      </c>
      <c r="E23" s="43" t="s">
        <v>589</v>
      </c>
      <c r="F23" s="43" t="s">
        <v>1109</v>
      </c>
      <c r="G23" s="43" t="s">
        <v>590</v>
      </c>
      <c r="H23" s="43" t="s">
        <v>591</v>
      </c>
      <c r="I23" s="43" t="s">
        <v>243</v>
      </c>
      <c r="J23" s="43" t="s">
        <v>578</v>
      </c>
      <c r="K23" s="91" t="s">
        <v>579</v>
      </c>
    </row>
    <row r="24" spans="2:11" ht="17.25">
      <c r="B24" s="85" t="s">
        <v>592</v>
      </c>
      <c r="C24" s="86"/>
      <c r="D24" s="86"/>
      <c r="E24" s="86"/>
      <c r="F24" s="86"/>
      <c r="G24" s="86"/>
      <c r="H24" s="86"/>
      <c r="I24" s="86"/>
      <c r="J24" s="86"/>
      <c r="K24" s="87"/>
    </row>
    <row r="25" spans="2:11">
      <c r="B25" s="60"/>
      <c r="C25" s="59"/>
      <c r="D25" s="59"/>
      <c r="E25" s="59"/>
      <c r="F25" s="59"/>
      <c r="G25" s="59"/>
      <c r="H25" s="59"/>
      <c r="I25" s="59"/>
      <c r="J25" s="59"/>
      <c r="K25" s="77"/>
    </row>
    <row r="26" spans="2:11">
      <c r="B26" s="88" t="s">
        <v>572</v>
      </c>
      <c r="C26" s="72" t="s">
        <v>39</v>
      </c>
      <c r="D26" s="72" t="s">
        <v>493</v>
      </c>
      <c r="E26" s="72" t="s">
        <v>67</v>
      </c>
      <c r="F26" s="72" t="s">
        <v>842</v>
      </c>
      <c r="G26" s="89" t="s">
        <v>11</v>
      </c>
      <c r="H26" s="89" t="s">
        <v>41</v>
      </c>
      <c r="I26" s="89" t="s">
        <v>42</v>
      </c>
      <c r="J26" s="89" t="s">
        <v>43</v>
      </c>
      <c r="K26" s="90" t="s">
        <v>44</v>
      </c>
    </row>
    <row r="27" spans="2:11" ht="60">
      <c r="B27" s="47" t="s">
        <v>593</v>
      </c>
      <c r="C27" s="43" t="s">
        <v>594</v>
      </c>
      <c r="D27" s="43" t="s">
        <v>595</v>
      </c>
      <c r="E27" s="43" t="s">
        <v>596</v>
      </c>
      <c r="F27" s="43" t="s">
        <v>1109</v>
      </c>
      <c r="G27" s="43" t="s">
        <v>597</v>
      </c>
      <c r="H27" s="43" t="s">
        <v>598</v>
      </c>
      <c r="I27" s="43" t="s">
        <v>599</v>
      </c>
      <c r="J27" s="43" t="s">
        <v>578</v>
      </c>
      <c r="K27" s="91" t="s">
        <v>579</v>
      </c>
    </row>
    <row r="28" spans="2:11" ht="60">
      <c r="B28" s="47" t="s">
        <v>600</v>
      </c>
      <c r="C28" s="43" t="s">
        <v>581</v>
      </c>
      <c r="D28" s="43" t="s">
        <v>601</v>
      </c>
      <c r="E28" s="43" t="s">
        <v>602</v>
      </c>
      <c r="F28" s="43" t="s">
        <v>1109</v>
      </c>
      <c r="G28" s="43" t="s">
        <v>603</v>
      </c>
      <c r="H28" s="43" t="s">
        <v>604</v>
      </c>
      <c r="I28" s="43" t="s">
        <v>581</v>
      </c>
      <c r="J28" s="43" t="s">
        <v>586</v>
      </c>
      <c r="K28" s="91" t="s">
        <v>579</v>
      </c>
    </row>
    <row r="29" spans="2:11" ht="45">
      <c r="B29" s="47" t="s">
        <v>605</v>
      </c>
      <c r="C29" s="43" t="s">
        <v>46</v>
      </c>
      <c r="D29" s="43" t="s">
        <v>606</v>
      </c>
      <c r="E29" s="43" t="s">
        <v>607</v>
      </c>
      <c r="F29" s="43" t="s">
        <v>1109</v>
      </c>
      <c r="G29" s="43" t="s">
        <v>608</v>
      </c>
      <c r="H29" s="43" t="s">
        <v>609</v>
      </c>
      <c r="I29" s="43" t="s">
        <v>62</v>
      </c>
      <c r="J29" s="43" t="s">
        <v>586</v>
      </c>
      <c r="K29" s="91" t="s">
        <v>579</v>
      </c>
    </row>
    <row r="30" spans="2:11" ht="60">
      <c r="B30" s="92" t="s">
        <v>610</v>
      </c>
      <c r="C30" s="93" t="s">
        <v>243</v>
      </c>
      <c r="D30" s="93" t="s">
        <v>611</v>
      </c>
      <c r="E30" s="93" t="s">
        <v>612</v>
      </c>
      <c r="F30" s="93" t="s">
        <v>1109</v>
      </c>
      <c r="G30" s="93" t="s">
        <v>613</v>
      </c>
      <c r="H30" s="93" t="s">
        <v>614</v>
      </c>
      <c r="I30" s="93" t="s">
        <v>243</v>
      </c>
      <c r="J30" s="93" t="s">
        <v>615</v>
      </c>
      <c r="K30" s="94" t="s">
        <v>579</v>
      </c>
    </row>
    <row r="31" spans="2:11">
      <c r="B31" s="60"/>
      <c r="C31" s="59"/>
      <c r="D31" s="59"/>
      <c r="E31" s="59"/>
      <c r="F31" s="59"/>
      <c r="G31" s="59"/>
      <c r="H31" s="59"/>
      <c r="I31" s="59"/>
      <c r="J31" s="59"/>
      <c r="K31" s="77"/>
    </row>
    <row r="32" spans="2:11">
      <c r="B32" s="60"/>
      <c r="C32" s="59"/>
      <c r="D32" s="59"/>
      <c r="E32" s="59"/>
      <c r="F32" s="59"/>
      <c r="G32" s="59"/>
      <c r="H32" s="59"/>
      <c r="I32" s="59"/>
      <c r="J32" s="59"/>
      <c r="K32" s="77"/>
    </row>
    <row r="33" spans="2:11" ht="17.25">
      <c r="B33" s="95" t="s">
        <v>616</v>
      </c>
      <c r="C33" s="59"/>
      <c r="D33" s="59"/>
      <c r="E33" s="59"/>
      <c r="F33" s="59"/>
      <c r="G33" s="59"/>
      <c r="H33" s="59"/>
      <c r="I33" s="59"/>
      <c r="J33" s="59"/>
      <c r="K33" s="77"/>
    </row>
    <row r="34" spans="2:11">
      <c r="B34" s="60"/>
      <c r="C34" s="59"/>
      <c r="D34" s="59"/>
      <c r="E34" s="59"/>
      <c r="F34" s="59"/>
      <c r="G34" s="59"/>
      <c r="H34" s="59"/>
      <c r="I34" s="59"/>
      <c r="J34" s="59"/>
      <c r="K34" s="77"/>
    </row>
    <row r="35" spans="2:11">
      <c r="B35" s="88" t="s">
        <v>572</v>
      </c>
      <c r="C35" s="72" t="s">
        <v>39</v>
      </c>
      <c r="D35" s="72" t="s">
        <v>493</v>
      </c>
      <c r="E35" s="72" t="s">
        <v>67</v>
      </c>
      <c r="F35" s="72" t="s">
        <v>842</v>
      </c>
      <c r="G35" s="89" t="s">
        <v>11</v>
      </c>
      <c r="H35" s="89" t="s">
        <v>41</v>
      </c>
      <c r="I35" s="89" t="s">
        <v>42</v>
      </c>
      <c r="J35" s="89" t="s">
        <v>43</v>
      </c>
      <c r="K35" s="90" t="s">
        <v>44</v>
      </c>
    </row>
    <row r="36" spans="2:11" ht="45">
      <c r="B36" s="47" t="s">
        <v>617</v>
      </c>
      <c r="C36" s="43" t="s">
        <v>46</v>
      </c>
      <c r="D36" s="43" t="s">
        <v>618</v>
      </c>
      <c r="E36" s="43" t="s">
        <v>619</v>
      </c>
      <c r="F36" s="43" t="s">
        <v>1109</v>
      </c>
      <c r="G36" s="43" t="s">
        <v>620</v>
      </c>
      <c r="H36" s="43" t="s">
        <v>621</v>
      </c>
      <c r="I36" s="43" t="s">
        <v>62</v>
      </c>
      <c r="J36" s="43" t="s">
        <v>622</v>
      </c>
      <c r="K36" s="91" t="s">
        <v>579</v>
      </c>
    </row>
    <row r="37" spans="2:11" ht="45">
      <c r="B37" s="47" t="s">
        <v>623</v>
      </c>
      <c r="C37" s="43" t="s">
        <v>581</v>
      </c>
      <c r="D37" s="43" t="s">
        <v>624</v>
      </c>
      <c r="E37" s="43" t="s">
        <v>625</v>
      </c>
      <c r="F37" s="43" t="s">
        <v>1109</v>
      </c>
      <c r="G37" s="43" t="s">
        <v>626</v>
      </c>
      <c r="H37" s="43" t="s">
        <v>627</v>
      </c>
      <c r="I37" s="43" t="s">
        <v>581</v>
      </c>
      <c r="J37" s="43" t="s">
        <v>586</v>
      </c>
      <c r="K37" s="91" t="s">
        <v>579</v>
      </c>
    </row>
    <row r="38" spans="2:11" ht="45">
      <c r="B38" s="47" t="s">
        <v>96</v>
      </c>
      <c r="C38" s="43" t="s">
        <v>46</v>
      </c>
      <c r="D38" s="43" t="s">
        <v>628</v>
      </c>
      <c r="E38" s="43" t="s">
        <v>629</v>
      </c>
      <c r="F38" s="43" t="s">
        <v>1109</v>
      </c>
      <c r="G38" s="43" t="s">
        <v>630</v>
      </c>
      <c r="H38" s="43" t="s">
        <v>631</v>
      </c>
      <c r="I38" s="43" t="s">
        <v>62</v>
      </c>
      <c r="J38" s="43" t="s">
        <v>622</v>
      </c>
      <c r="K38" s="91" t="s">
        <v>579</v>
      </c>
    </row>
    <row r="39" spans="2:11" ht="17.25">
      <c r="B39" s="85" t="s">
        <v>632</v>
      </c>
      <c r="C39" s="86"/>
      <c r="D39" s="86"/>
      <c r="E39" s="86"/>
      <c r="F39" s="86"/>
      <c r="G39" s="86"/>
      <c r="H39" s="86"/>
      <c r="I39" s="86"/>
      <c r="J39" s="86"/>
      <c r="K39" s="87"/>
    </row>
    <row r="40" spans="2:11">
      <c r="B40" s="60"/>
      <c r="C40" s="59"/>
      <c r="D40" s="59"/>
      <c r="E40" s="59"/>
      <c r="F40" s="59"/>
      <c r="G40" s="59"/>
      <c r="H40" s="59"/>
      <c r="I40" s="59"/>
      <c r="J40" s="59"/>
      <c r="K40" s="77"/>
    </row>
    <row r="41" spans="2:11">
      <c r="B41" s="88" t="s">
        <v>572</v>
      </c>
      <c r="C41" s="72" t="s">
        <v>39</v>
      </c>
      <c r="D41" s="72" t="s">
        <v>493</v>
      </c>
      <c r="E41" s="72" t="s">
        <v>67</v>
      </c>
      <c r="F41" s="72" t="s">
        <v>842</v>
      </c>
      <c r="G41" s="89" t="s">
        <v>11</v>
      </c>
      <c r="H41" s="89" t="s">
        <v>41</v>
      </c>
      <c r="I41" s="89" t="s">
        <v>42</v>
      </c>
      <c r="J41" s="89" t="s">
        <v>43</v>
      </c>
      <c r="K41" s="90" t="s">
        <v>44</v>
      </c>
    </row>
    <row r="42" spans="2:11" ht="45">
      <c r="B42" s="47" t="s">
        <v>633</v>
      </c>
      <c r="C42" s="43" t="s">
        <v>581</v>
      </c>
      <c r="D42" s="43" t="s">
        <v>634</v>
      </c>
      <c r="E42" s="43" t="s">
        <v>635</v>
      </c>
      <c r="F42" s="43" t="s">
        <v>1109</v>
      </c>
      <c r="G42" s="43" t="s">
        <v>636</v>
      </c>
      <c r="H42" s="43" t="s">
        <v>637</v>
      </c>
      <c r="I42" s="43" t="s">
        <v>581</v>
      </c>
      <c r="J42" s="43" t="s">
        <v>578</v>
      </c>
      <c r="K42" s="91" t="s">
        <v>579</v>
      </c>
    </row>
    <row r="43" spans="2:11" ht="60">
      <c r="B43" s="47" t="s">
        <v>638</v>
      </c>
      <c r="C43" s="43" t="s">
        <v>72</v>
      </c>
      <c r="D43" s="43" t="s">
        <v>639</v>
      </c>
      <c r="E43" s="43" t="s">
        <v>640</v>
      </c>
      <c r="F43" s="43" t="s">
        <v>1109</v>
      </c>
      <c r="G43" s="43" t="s">
        <v>641</v>
      </c>
      <c r="H43" s="43" t="s">
        <v>642</v>
      </c>
      <c r="I43" s="43" t="s">
        <v>53</v>
      </c>
      <c r="J43" s="43" t="s">
        <v>586</v>
      </c>
      <c r="K43" s="91" t="s">
        <v>579</v>
      </c>
    </row>
    <row r="44" spans="2:11" ht="75.75" thickBot="1">
      <c r="B44" s="47" t="s">
        <v>643</v>
      </c>
      <c r="C44" s="43" t="s">
        <v>581</v>
      </c>
      <c r="D44" s="43" t="s">
        <v>644</v>
      </c>
      <c r="E44" s="43" t="s">
        <v>645</v>
      </c>
      <c r="F44" s="43" t="s">
        <v>1109</v>
      </c>
      <c r="G44" s="43" t="s">
        <v>646</v>
      </c>
      <c r="H44" s="43" t="s">
        <v>647</v>
      </c>
      <c r="I44" s="43" t="s">
        <v>581</v>
      </c>
      <c r="J44" s="43" t="s">
        <v>586</v>
      </c>
      <c r="K44" s="91" t="s">
        <v>579</v>
      </c>
    </row>
    <row r="45" spans="2:11" ht="30">
      <c r="B45" s="96" t="s">
        <v>117</v>
      </c>
      <c r="C45" s="83"/>
      <c r="D45" s="83"/>
      <c r="E45" s="83"/>
      <c r="F45" s="83"/>
      <c r="G45" s="83"/>
      <c r="H45" s="83"/>
      <c r="I45" s="83"/>
      <c r="J45" s="83"/>
      <c r="K45" s="84"/>
    </row>
    <row r="46" spans="2:11">
      <c r="B46" s="60"/>
      <c r="C46" s="59"/>
      <c r="D46" s="59"/>
      <c r="E46" s="59"/>
      <c r="F46" s="59"/>
      <c r="G46" s="59"/>
      <c r="H46" s="59"/>
      <c r="I46" s="59"/>
      <c r="J46" s="59"/>
      <c r="K46" s="77"/>
    </row>
    <row r="47" spans="2:11" ht="22.5">
      <c r="B47" s="97" t="s">
        <v>648</v>
      </c>
      <c r="C47" s="86"/>
      <c r="D47" s="86"/>
      <c r="E47" s="86"/>
      <c r="F47" s="86"/>
      <c r="G47" s="86"/>
      <c r="H47" s="86"/>
      <c r="I47" s="86"/>
      <c r="J47" s="86"/>
      <c r="K47" s="87"/>
    </row>
    <row r="48" spans="2:11">
      <c r="B48" s="60"/>
      <c r="C48" s="59"/>
      <c r="D48" s="59"/>
      <c r="E48" s="59"/>
      <c r="F48" s="59"/>
      <c r="G48" s="59"/>
      <c r="H48" s="59"/>
      <c r="I48" s="59"/>
      <c r="J48" s="59"/>
      <c r="K48" s="77"/>
    </row>
    <row r="49" spans="2:11">
      <c r="B49" s="88" t="s">
        <v>572</v>
      </c>
      <c r="C49" s="72" t="s">
        <v>39</v>
      </c>
      <c r="D49" s="72" t="s">
        <v>493</v>
      </c>
      <c r="E49" s="72" t="s">
        <v>67</v>
      </c>
      <c r="F49" s="72" t="s">
        <v>842</v>
      </c>
      <c r="G49" s="89" t="s">
        <v>11</v>
      </c>
      <c r="H49" s="89" t="s">
        <v>41</v>
      </c>
      <c r="I49" s="89" t="s">
        <v>42</v>
      </c>
      <c r="J49" s="89" t="s">
        <v>43</v>
      </c>
      <c r="K49" s="90" t="s">
        <v>44</v>
      </c>
    </row>
    <row r="50" spans="2:11" ht="60">
      <c r="B50" s="47" t="s">
        <v>649</v>
      </c>
      <c r="C50" s="43" t="s">
        <v>62</v>
      </c>
      <c r="D50" s="43" t="s">
        <v>650</v>
      </c>
      <c r="E50" s="43" t="s">
        <v>651</v>
      </c>
      <c r="F50" s="43" t="s">
        <v>1109</v>
      </c>
      <c r="G50" s="51" t="s">
        <v>1131</v>
      </c>
      <c r="H50" s="51" t="s">
        <v>1132</v>
      </c>
      <c r="I50" s="51" t="s">
        <v>62</v>
      </c>
      <c r="J50" s="51" t="s">
        <v>578</v>
      </c>
      <c r="K50" s="192" t="s">
        <v>579</v>
      </c>
    </row>
    <row r="51" spans="2:11" ht="45">
      <c r="B51" s="47" t="s">
        <v>652</v>
      </c>
      <c r="C51" s="43" t="s">
        <v>62</v>
      </c>
      <c r="D51" s="43" t="s">
        <v>653</v>
      </c>
      <c r="E51" s="43" t="s">
        <v>654</v>
      </c>
      <c r="F51" s="43" t="s">
        <v>1109</v>
      </c>
      <c r="G51" s="51" t="s">
        <v>1133</v>
      </c>
      <c r="H51" s="51" t="s">
        <v>1134</v>
      </c>
      <c r="I51" s="51" t="s">
        <v>1135</v>
      </c>
      <c r="J51" s="51" t="s">
        <v>1136</v>
      </c>
      <c r="K51" s="192" t="s">
        <v>579</v>
      </c>
    </row>
    <row r="52" spans="2:11" ht="60">
      <c r="B52" s="47" t="s">
        <v>655</v>
      </c>
      <c r="C52" s="43" t="s">
        <v>46</v>
      </c>
      <c r="D52" s="43" t="s">
        <v>656</v>
      </c>
      <c r="E52" s="43" t="s">
        <v>657</v>
      </c>
      <c r="F52" s="43" t="s">
        <v>1109</v>
      </c>
      <c r="G52" s="51" t="s">
        <v>1137</v>
      </c>
      <c r="H52" s="51" t="s">
        <v>1138</v>
      </c>
      <c r="I52" s="51" t="s">
        <v>1139</v>
      </c>
      <c r="J52" s="51" t="s">
        <v>578</v>
      </c>
      <c r="K52" s="192" t="s">
        <v>579</v>
      </c>
    </row>
    <row r="53" spans="2:11" ht="60">
      <c r="B53" s="47" t="s">
        <v>658</v>
      </c>
      <c r="C53" s="43" t="s">
        <v>46</v>
      </c>
      <c r="D53" s="43" t="s">
        <v>659</v>
      </c>
      <c r="E53" s="43" t="s">
        <v>660</v>
      </c>
      <c r="F53" s="43" t="s">
        <v>1109</v>
      </c>
      <c r="G53" s="51" t="s">
        <v>1140</v>
      </c>
      <c r="H53" s="51" t="s">
        <v>1141</v>
      </c>
      <c r="I53" s="51" t="s">
        <v>156</v>
      </c>
      <c r="J53" s="51" t="s">
        <v>615</v>
      </c>
      <c r="K53" s="192" t="s">
        <v>579</v>
      </c>
    </row>
    <row r="54" spans="2:11" ht="45">
      <c r="B54" s="47" t="s">
        <v>661</v>
      </c>
      <c r="C54" s="43" t="s">
        <v>46</v>
      </c>
      <c r="D54" s="43" t="s">
        <v>662</v>
      </c>
      <c r="E54" s="43" t="s">
        <v>663</v>
      </c>
      <c r="F54" s="43" t="s">
        <v>1109</v>
      </c>
      <c r="G54" s="51" t="s">
        <v>1142</v>
      </c>
      <c r="H54" s="51" t="s">
        <v>1143</v>
      </c>
      <c r="I54" s="51" t="s">
        <v>581</v>
      </c>
      <c r="J54" s="51" t="s">
        <v>578</v>
      </c>
      <c r="K54" s="192" t="s">
        <v>579</v>
      </c>
    </row>
    <row r="55" spans="2:11" ht="45">
      <c r="B55" s="47" t="s">
        <v>664</v>
      </c>
      <c r="C55" s="43" t="s">
        <v>62</v>
      </c>
      <c r="D55" s="43" t="s">
        <v>665</v>
      </c>
      <c r="E55" s="43" t="s">
        <v>666</v>
      </c>
      <c r="F55" s="43" t="s">
        <v>1109</v>
      </c>
      <c r="G55" s="51" t="s">
        <v>1144</v>
      </c>
      <c r="H55" s="51" t="s">
        <v>1145</v>
      </c>
      <c r="I55" s="51" t="s">
        <v>62</v>
      </c>
      <c r="J55" s="51" t="s">
        <v>578</v>
      </c>
      <c r="K55" s="192" t="s">
        <v>579</v>
      </c>
    </row>
    <row r="56" spans="2:11">
      <c r="B56" s="92"/>
      <c r="C56" s="93"/>
      <c r="D56" s="93"/>
      <c r="E56" s="93"/>
      <c r="F56" s="98"/>
      <c r="G56" s="197"/>
      <c r="H56" s="197"/>
      <c r="I56" s="197"/>
      <c r="J56" s="197"/>
      <c r="K56" s="15"/>
    </row>
    <row r="57" spans="2:11" ht="22.5">
      <c r="B57" s="97" t="s">
        <v>667</v>
      </c>
      <c r="C57" s="86"/>
      <c r="D57" s="86"/>
      <c r="E57" s="86"/>
      <c r="F57" s="86"/>
      <c r="G57" s="86"/>
      <c r="H57" s="86"/>
      <c r="I57" s="86"/>
      <c r="J57" s="86"/>
      <c r="K57" s="87"/>
    </row>
    <row r="58" spans="2:11">
      <c r="B58" s="60"/>
      <c r="C58" s="59"/>
      <c r="D58" s="59"/>
      <c r="E58" s="59"/>
      <c r="F58" s="59"/>
      <c r="G58" s="59"/>
      <c r="H58" s="59"/>
      <c r="I58" s="59"/>
      <c r="J58" s="59"/>
      <c r="K58" s="77"/>
    </row>
    <row r="59" spans="2:11">
      <c r="B59" s="88" t="s">
        <v>572</v>
      </c>
      <c r="C59" s="72" t="s">
        <v>39</v>
      </c>
      <c r="D59" s="72" t="s">
        <v>493</v>
      </c>
      <c r="E59" s="72" t="s">
        <v>67</v>
      </c>
      <c r="F59" s="72" t="s">
        <v>842</v>
      </c>
      <c r="G59" s="89" t="s">
        <v>11</v>
      </c>
      <c r="H59" s="89" t="s">
        <v>41</v>
      </c>
      <c r="I59" s="89" t="s">
        <v>42</v>
      </c>
      <c r="J59" s="89" t="s">
        <v>43</v>
      </c>
      <c r="K59" s="90" t="s">
        <v>44</v>
      </c>
    </row>
    <row r="60" spans="2:11" ht="45">
      <c r="B60" s="47" t="s">
        <v>668</v>
      </c>
      <c r="C60" s="43" t="s">
        <v>62</v>
      </c>
      <c r="D60" s="43" t="s">
        <v>669</v>
      </c>
      <c r="E60" s="43" t="s">
        <v>670</v>
      </c>
      <c r="F60" s="43" t="s">
        <v>1109</v>
      </c>
      <c r="G60" s="51" t="s">
        <v>1146</v>
      </c>
      <c r="H60" s="51" t="s">
        <v>1147</v>
      </c>
      <c r="I60" s="51" t="s">
        <v>62</v>
      </c>
      <c r="J60" s="51" t="s">
        <v>586</v>
      </c>
      <c r="K60" s="192" t="s">
        <v>579</v>
      </c>
    </row>
    <row r="61" spans="2:11" ht="45">
      <c r="B61" s="47" t="s">
        <v>671</v>
      </c>
      <c r="C61" s="43" t="s">
        <v>46</v>
      </c>
      <c r="D61" s="43" t="s">
        <v>672</v>
      </c>
      <c r="E61" s="43" t="s">
        <v>673</v>
      </c>
      <c r="F61" s="43" t="s">
        <v>1109</v>
      </c>
      <c r="G61" s="51" t="s">
        <v>1148</v>
      </c>
      <c r="H61" s="51" t="s">
        <v>1149</v>
      </c>
      <c r="I61" s="51" t="s">
        <v>62</v>
      </c>
      <c r="J61" s="51" t="s">
        <v>578</v>
      </c>
      <c r="K61" s="192" t="s">
        <v>579</v>
      </c>
    </row>
    <row r="62" spans="2:11" ht="45">
      <c r="B62" s="47" t="s">
        <v>674</v>
      </c>
      <c r="C62" s="43" t="s">
        <v>46</v>
      </c>
      <c r="D62" s="43" t="s">
        <v>675</v>
      </c>
      <c r="E62" s="43" t="s">
        <v>676</v>
      </c>
      <c r="F62" s="43" t="s">
        <v>1109</v>
      </c>
      <c r="G62" s="51" t="s">
        <v>1150</v>
      </c>
      <c r="H62" s="51" t="s">
        <v>1151</v>
      </c>
      <c r="I62" s="51" t="s">
        <v>707</v>
      </c>
      <c r="J62" s="51" t="s">
        <v>578</v>
      </c>
      <c r="K62" s="192" t="s">
        <v>579</v>
      </c>
    </row>
    <row r="63" spans="2:11" ht="45">
      <c r="B63" s="47" t="s">
        <v>677</v>
      </c>
      <c r="C63" s="43" t="s">
        <v>678</v>
      </c>
      <c r="D63" s="43" t="s">
        <v>679</v>
      </c>
      <c r="E63" s="43" t="s">
        <v>680</v>
      </c>
      <c r="F63" s="43" t="s">
        <v>1109</v>
      </c>
      <c r="G63" s="51" t="s">
        <v>1152</v>
      </c>
      <c r="H63" s="51" t="s">
        <v>1153</v>
      </c>
      <c r="I63" s="51" t="s">
        <v>156</v>
      </c>
      <c r="J63" s="51" t="s">
        <v>586</v>
      </c>
      <c r="K63" s="192" t="s">
        <v>579</v>
      </c>
    </row>
    <row r="64" spans="2:11" ht="45">
      <c r="B64" s="92" t="s">
        <v>681</v>
      </c>
      <c r="C64" s="93" t="s">
        <v>46</v>
      </c>
      <c r="D64" s="93" t="s">
        <v>682</v>
      </c>
      <c r="E64" s="93" t="s">
        <v>683</v>
      </c>
      <c r="F64" s="93" t="s">
        <v>1109</v>
      </c>
      <c r="G64" s="51" t="s">
        <v>1154</v>
      </c>
      <c r="H64" s="51" t="s">
        <v>1155</v>
      </c>
      <c r="I64" s="51" t="s">
        <v>62</v>
      </c>
      <c r="J64" s="51" t="s">
        <v>1156</v>
      </c>
      <c r="K64" s="192" t="s">
        <v>579</v>
      </c>
    </row>
    <row r="65" spans="2:11" ht="22.5">
      <c r="B65" s="50" t="s">
        <v>684</v>
      </c>
      <c r="C65" s="59"/>
      <c r="D65" s="59"/>
      <c r="E65" s="59"/>
      <c r="F65" s="59"/>
      <c r="G65" s="59"/>
      <c r="H65" s="59"/>
      <c r="I65" s="59"/>
      <c r="J65" s="59"/>
      <c r="K65" s="77"/>
    </row>
    <row r="66" spans="2:11">
      <c r="B66" s="60"/>
      <c r="C66" s="59"/>
      <c r="D66" s="59"/>
      <c r="E66" s="59"/>
      <c r="F66" s="59"/>
      <c r="G66" s="59"/>
      <c r="H66" s="59"/>
      <c r="I66" s="59"/>
      <c r="J66" s="59"/>
      <c r="K66" s="77"/>
    </row>
    <row r="67" spans="2:11">
      <c r="B67" s="88" t="s">
        <v>572</v>
      </c>
      <c r="C67" s="72" t="s">
        <v>39</v>
      </c>
      <c r="D67" s="72" t="s">
        <v>493</v>
      </c>
      <c r="E67" s="72" t="s">
        <v>67</v>
      </c>
      <c r="F67" s="72" t="s">
        <v>842</v>
      </c>
      <c r="G67" s="89" t="s">
        <v>11</v>
      </c>
      <c r="H67" s="89" t="s">
        <v>41</v>
      </c>
      <c r="I67" s="89" t="s">
        <v>42</v>
      </c>
      <c r="J67" s="89" t="s">
        <v>43</v>
      </c>
      <c r="K67" s="90" t="s">
        <v>44</v>
      </c>
    </row>
    <row r="68" spans="2:11" ht="45">
      <c r="B68" s="47" t="s">
        <v>685</v>
      </c>
      <c r="C68" s="43" t="s">
        <v>156</v>
      </c>
      <c r="D68" s="43" t="s">
        <v>686</v>
      </c>
      <c r="E68" s="43" t="s">
        <v>687</v>
      </c>
      <c r="F68" s="43" t="s">
        <v>1109</v>
      </c>
      <c r="G68" s="51" t="s">
        <v>1157</v>
      </c>
      <c r="H68" s="51" t="s">
        <v>1158</v>
      </c>
      <c r="I68" s="51" t="s">
        <v>156</v>
      </c>
      <c r="J68" s="51" t="s">
        <v>578</v>
      </c>
      <c r="K68" s="192" t="s">
        <v>579</v>
      </c>
    </row>
    <row r="69" spans="2:11" ht="30">
      <c r="B69" s="47" t="s">
        <v>688</v>
      </c>
      <c r="C69" s="43" t="s">
        <v>46</v>
      </c>
      <c r="D69" s="43" t="s">
        <v>689</v>
      </c>
      <c r="E69" s="43" t="s">
        <v>690</v>
      </c>
      <c r="F69" s="43" t="s">
        <v>1109</v>
      </c>
      <c r="G69" s="51" t="s">
        <v>1159</v>
      </c>
      <c r="H69" s="51" t="s">
        <v>1160</v>
      </c>
      <c r="I69" s="51" t="s">
        <v>62</v>
      </c>
      <c r="J69" s="51" t="s">
        <v>622</v>
      </c>
      <c r="K69" s="192" t="s">
        <v>579</v>
      </c>
    </row>
    <row r="70" spans="2:11" ht="30">
      <c r="B70" s="47" t="s">
        <v>691</v>
      </c>
      <c r="C70" s="43" t="s">
        <v>46</v>
      </c>
      <c r="D70" s="43" t="s">
        <v>692</v>
      </c>
      <c r="E70" s="43" t="s">
        <v>693</v>
      </c>
      <c r="F70" s="43" t="s">
        <v>1109</v>
      </c>
      <c r="G70" s="51" t="s">
        <v>1161</v>
      </c>
      <c r="H70" s="51" t="s">
        <v>1162</v>
      </c>
      <c r="I70" s="51" t="s">
        <v>62</v>
      </c>
      <c r="J70" s="51" t="s">
        <v>578</v>
      </c>
      <c r="K70" s="192" t="s">
        <v>579</v>
      </c>
    </row>
    <row r="71" spans="2:11" ht="30">
      <c r="B71" s="47" t="s">
        <v>694</v>
      </c>
      <c r="C71" s="43" t="s">
        <v>695</v>
      </c>
      <c r="D71" s="43" t="s">
        <v>696</v>
      </c>
      <c r="E71" s="43" t="s">
        <v>697</v>
      </c>
      <c r="F71" s="43" t="s">
        <v>1109</v>
      </c>
      <c r="G71" s="51" t="s">
        <v>1163</v>
      </c>
      <c r="H71" s="51" t="s">
        <v>1164</v>
      </c>
      <c r="I71" s="51" t="s">
        <v>695</v>
      </c>
      <c r="J71" s="51" t="s">
        <v>578</v>
      </c>
      <c r="K71" s="192" t="s">
        <v>579</v>
      </c>
    </row>
    <row r="72" spans="2:11" ht="30.75" thickBot="1">
      <c r="B72" s="52" t="s">
        <v>698</v>
      </c>
      <c r="C72" s="54" t="s">
        <v>46</v>
      </c>
      <c r="D72" s="54" t="s">
        <v>699</v>
      </c>
      <c r="E72" s="54" t="s">
        <v>700</v>
      </c>
      <c r="F72" s="54" t="s">
        <v>1109</v>
      </c>
      <c r="G72" s="159" t="s">
        <v>1165</v>
      </c>
      <c r="H72" s="159" t="s">
        <v>1166</v>
      </c>
      <c r="I72" s="159" t="s">
        <v>707</v>
      </c>
      <c r="J72" s="159" t="s">
        <v>1136</v>
      </c>
      <c r="K72" s="193" t="s">
        <v>579</v>
      </c>
    </row>
    <row r="73" spans="2:11" ht="30">
      <c r="B73" s="96" t="s">
        <v>701</v>
      </c>
      <c r="C73" s="83"/>
      <c r="D73" s="83"/>
      <c r="E73" s="83"/>
      <c r="F73" s="83"/>
      <c r="G73" s="83"/>
      <c r="H73" s="83"/>
      <c r="I73" s="83"/>
      <c r="J73" s="83"/>
      <c r="K73" s="84"/>
    </row>
    <row r="74" spans="2:11">
      <c r="B74" s="60"/>
      <c r="C74" s="59"/>
      <c r="D74" s="59"/>
      <c r="E74" s="59"/>
      <c r="F74" s="59"/>
      <c r="G74" s="59"/>
      <c r="H74" s="59"/>
      <c r="I74" s="59"/>
      <c r="J74" s="59"/>
      <c r="K74" s="77"/>
    </row>
    <row r="75" spans="2:11" ht="22.5">
      <c r="B75" s="97" t="s">
        <v>702</v>
      </c>
      <c r="C75" s="86"/>
      <c r="D75" s="86"/>
      <c r="E75" s="86"/>
      <c r="F75" s="86"/>
      <c r="G75" s="86"/>
      <c r="H75" s="86"/>
      <c r="I75" s="86"/>
      <c r="J75" s="86"/>
      <c r="K75" s="87"/>
    </row>
    <row r="76" spans="2:11">
      <c r="B76" s="60"/>
      <c r="C76" s="59"/>
      <c r="D76" s="59"/>
      <c r="E76" s="59"/>
      <c r="F76" s="59"/>
      <c r="G76" s="59"/>
      <c r="H76" s="59"/>
      <c r="I76" s="59"/>
      <c r="J76" s="59"/>
      <c r="K76" s="77"/>
    </row>
    <row r="77" spans="2:11">
      <c r="B77" s="88" t="s">
        <v>572</v>
      </c>
      <c r="C77" s="72" t="s">
        <v>39</v>
      </c>
      <c r="D77" s="72" t="s">
        <v>493</v>
      </c>
      <c r="E77" s="72" t="s">
        <v>67</v>
      </c>
      <c r="F77" s="72" t="s">
        <v>842</v>
      </c>
      <c r="G77" s="89" t="s">
        <v>11</v>
      </c>
      <c r="H77" s="89" t="s">
        <v>41</v>
      </c>
      <c r="I77" s="89" t="s">
        <v>42</v>
      </c>
      <c r="J77" s="89" t="s">
        <v>43</v>
      </c>
      <c r="K77" s="90" t="s">
        <v>44</v>
      </c>
    </row>
    <row r="78" spans="2:11" ht="60">
      <c r="B78" s="47" t="s">
        <v>703</v>
      </c>
      <c r="C78" s="43" t="s">
        <v>581</v>
      </c>
      <c r="D78" s="43" t="s">
        <v>704</v>
      </c>
      <c r="E78" s="43" t="s">
        <v>705</v>
      </c>
      <c r="F78" s="43" t="s">
        <v>1109</v>
      </c>
      <c r="G78" s="51" t="s">
        <v>1180</v>
      </c>
      <c r="H78" s="51" t="s">
        <v>1181</v>
      </c>
      <c r="I78" s="51" t="s">
        <v>581</v>
      </c>
      <c r="J78" s="51" t="s">
        <v>578</v>
      </c>
      <c r="K78" s="192" t="s">
        <v>579</v>
      </c>
    </row>
    <row r="79" spans="2:11" ht="45">
      <c r="B79" s="47" t="s">
        <v>706</v>
      </c>
      <c r="C79" s="43" t="s">
        <v>707</v>
      </c>
      <c r="D79" s="43" t="s">
        <v>708</v>
      </c>
      <c r="E79" s="43" t="s">
        <v>709</v>
      </c>
      <c r="F79" s="43" t="s">
        <v>1109</v>
      </c>
      <c r="G79" s="51" t="s">
        <v>1182</v>
      </c>
      <c r="H79" s="51" t="s">
        <v>1183</v>
      </c>
      <c r="I79" s="51" t="s">
        <v>707</v>
      </c>
      <c r="J79" s="51" t="s">
        <v>1136</v>
      </c>
      <c r="K79" s="192" t="s">
        <v>579</v>
      </c>
    </row>
    <row r="80" spans="2:11" ht="30">
      <c r="B80" s="47" t="s">
        <v>710</v>
      </c>
      <c r="C80" s="43" t="s">
        <v>711</v>
      </c>
      <c r="D80" s="43" t="s">
        <v>712</v>
      </c>
      <c r="E80" s="43" t="s">
        <v>713</v>
      </c>
      <c r="F80" s="43" t="s">
        <v>1109</v>
      </c>
      <c r="G80" s="51" t="s">
        <v>1184</v>
      </c>
      <c r="H80" s="51" t="s">
        <v>1185</v>
      </c>
      <c r="I80" s="51" t="s">
        <v>711</v>
      </c>
      <c r="J80" s="51" t="s">
        <v>578</v>
      </c>
      <c r="K80" s="192" t="s">
        <v>579</v>
      </c>
    </row>
    <row r="81" spans="2:11" ht="45">
      <c r="B81" s="47" t="s">
        <v>714</v>
      </c>
      <c r="C81" s="43" t="s">
        <v>581</v>
      </c>
      <c r="D81" s="43" t="s">
        <v>715</v>
      </c>
      <c r="E81" s="43" t="s">
        <v>716</v>
      </c>
      <c r="F81" s="43" t="s">
        <v>1109</v>
      </c>
      <c r="G81" s="51" t="s">
        <v>1186</v>
      </c>
      <c r="H81" s="51" t="s">
        <v>1187</v>
      </c>
      <c r="I81" s="51" t="s">
        <v>581</v>
      </c>
      <c r="J81" s="51" t="s">
        <v>586</v>
      </c>
      <c r="K81" s="192" t="s">
        <v>579</v>
      </c>
    </row>
    <row r="82" spans="2:11" ht="30">
      <c r="B82" s="47" t="s">
        <v>717</v>
      </c>
      <c r="C82" s="43" t="s">
        <v>718</v>
      </c>
      <c r="D82" s="43" t="s">
        <v>719</v>
      </c>
      <c r="E82" s="43" t="s">
        <v>720</v>
      </c>
      <c r="F82" s="43" t="s">
        <v>1109</v>
      </c>
      <c r="G82" s="51" t="s">
        <v>1188</v>
      </c>
      <c r="H82" s="51" t="s">
        <v>1189</v>
      </c>
      <c r="I82" s="51" t="s">
        <v>718</v>
      </c>
      <c r="J82" s="51" t="s">
        <v>578</v>
      </c>
      <c r="K82" s="192" t="s">
        <v>579</v>
      </c>
    </row>
    <row r="83" spans="2:11" ht="45">
      <c r="B83" s="47" t="s">
        <v>721</v>
      </c>
      <c r="C83" s="43" t="s">
        <v>46</v>
      </c>
      <c r="D83" s="43" t="s">
        <v>722</v>
      </c>
      <c r="E83" s="43" t="s">
        <v>723</v>
      </c>
      <c r="F83" s="43" t="s">
        <v>1109</v>
      </c>
      <c r="G83" s="51" t="s">
        <v>1190</v>
      </c>
      <c r="H83" s="51" t="s">
        <v>1191</v>
      </c>
      <c r="I83" s="51" t="s">
        <v>62</v>
      </c>
      <c r="J83" s="51" t="s">
        <v>1136</v>
      </c>
      <c r="K83" s="192" t="s">
        <v>579</v>
      </c>
    </row>
    <row r="84" spans="2:11" ht="45">
      <c r="B84" s="92" t="s">
        <v>724</v>
      </c>
      <c r="C84" s="93" t="s">
        <v>581</v>
      </c>
      <c r="D84" s="93" t="s">
        <v>725</v>
      </c>
      <c r="E84" s="93" t="s">
        <v>726</v>
      </c>
      <c r="F84" s="93" t="s">
        <v>1109</v>
      </c>
      <c r="G84" s="51" t="s">
        <v>1192</v>
      </c>
      <c r="H84" s="51" t="s">
        <v>1193</v>
      </c>
      <c r="I84" s="51" t="s">
        <v>581</v>
      </c>
      <c r="J84" s="51" t="s">
        <v>615</v>
      </c>
      <c r="K84" s="192" t="s">
        <v>579</v>
      </c>
    </row>
    <row r="85" spans="2:11" ht="22.5">
      <c r="B85" s="97" t="s">
        <v>727</v>
      </c>
      <c r="C85" s="86"/>
      <c r="D85" s="86"/>
      <c r="E85" s="86"/>
      <c r="F85" s="86"/>
      <c r="G85" s="86"/>
      <c r="H85" s="86"/>
      <c r="I85" s="86"/>
      <c r="J85" s="86"/>
      <c r="K85" s="87"/>
    </row>
    <row r="86" spans="2:11">
      <c r="B86" s="60"/>
      <c r="C86" s="59"/>
      <c r="D86" s="59"/>
      <c r="E86" s="59"/>
      <c r="F86" s="59"/>
      <c r="G86" s="59"/>
      <c r="H86" s="59"/>
      <c r="I86" s="59"/>
      <c r="J86" s="59"/>
      <c r="K86" s="77"/>
    </row>
    <row r="87" spans="2:11">
      <c r="B87" s="88" t="s">
        <v>572</v>
      </c>
      <c r="C87" s="72" t="s">
        <v>39</v>
      </c>
      <c r="D87" s="72" t="s">
        <v>493</v>
      </c>
      <c r="E87" s="72" t="s">
        <v>67</v>
      </c>
      <c r="F87" s="72" t="s">
        <v>842</v>
      </c>
      <c r="G87" s="89" t="s">
        <v>11</v>
      </c>
      <c r="H87" s="89" t="s">
        <v>41</v>
      </c>
      <c r="I87" s="89" t="s">
        <v>42</v>
      </c>
      <c r="J87" s="89" t="s">
        <v>43</v>
      </c>
      <c r="K87" s="90" t="s">
        <v>44</v>
      </c>
    </row>
    <row r="88" spans="2:11" ht="30">
      <c r="B88" s="47" t="s">
        <v>728</v>
      </c>
      <c r="C88" s="43" t="s">
        <v>46</v>
      </c>
      <c r="D88" s="43" t="s">
        <v>729</v>
      </c>
      <c r="E88" s="43" t="s">
        <v>730</v>
      </c>
      <c r="F88" s="43" t="s">
        <v>1109</v>
      </c>
      <c r="G88" s="51" t="s">
        <v>1194</v>
      </c>
      <c r="H88" s="51" t="s">
        <v>1195</v>
      </c>
      <c r="I88" s="51" t="s">
        <v>62</v>
      </c>
      <c r="J88" s="51" t="s">
        <v>578</v>
      </c>
      <c r="K88" s="192" t="s">
        <v>579</v>
      </c>
    </row>
    <row r="89" spans="2:11" ht="45">
      <c r="B89" s="47" t="s">
        <v>731</v>
      </c>
      <c r="C89" s="43" t="s">
        <v>46</v>
      </c>
      <c r="D89" s="43" t="s">
        <v>732</v>
      </c>
      <c r="E89" s="43" t="s">
        <v>733</v>
      </c>
      <c r="F89" s="43" t="s">
        <v>1109</v>
      </c>
      <c r="G89" s="51" t="s">
        <v>1196</v>
      </c>
      <c r="H89" s="51" t="s">
        <v>1197</v>
      </c>
      <c r="I89" s="51" t="s">
        <v>707</v>
      </c>
      <c r="J89" s="51" t="s">
        <v>578</v>
      </c>
      <c r="K89" s="192" t="s">
        <v>579</v>
      </c>
    </row>
    <row r="90" spans="2:11" ht="45">
      <c r="B90" s="47" t="s">
        <v>206</v>
      </c>
      <c r="C90" s="43" t="s">
        <v>581</v>
      </c>
      <c r="D90" s="43" t="s">
        <v>734</v>
      </c>
      <c r="E90" s="43" t="s">
        <v>735</v>
      </c>
      <c r="F90" s="43" t="s">
        <v>1109</v>
      </c>
      <c r="G90" s="51" t="s">
        <v>1198</v>
      </c>
      <c r="H90" s="51" t="s">
        <v>1199</v>
      </c>
      <c r="I90" s="51" t="s">
        <v>581</v>
      </c>
      <c r="J90" s="51" t="s">
        <v>578</v>
      </c>
      <c r="K90" s="192" t="s">
        <v>579</v>
      </c>
    </row>
    <row r="91" spans="2:11" ht="30">
      <c r="B91" s="47" t="s">
        <v>736</v>
      </c>
      <c r="C91" s="43" t="s">
        <v>695</v>
      </c>
      <c r="D91" s="43" t="s">
        <v>737</v>
      </c>
      <c r="E91" s="43" t="s">
        <v>738</v>
      </c>
      <c r="F91" s="43" t="s">
        <v>1109</v>
      </c>
      <c r="G91" s="51" t="s">
        <v>1200</v>
      </c>
      <c r="H91" s="51" t="s">
        <v>1201</v>
      </c>
      <c r="I91" s="51" t="s">
        <v>695</v>
      </c>
      <c r="J91" s="51" t="s">
        <v>586</v>
      </c>
      <c r="K91" s="192" t="s">
        <v>579</v>
      </c>
    </row>
    <row r="92" spans="2:11" ht="45">
      <c r="B92" s="47" t="s">
        <v>739</v>
      </c>
      <c r="C92" s="43" t="s">
        <v>109</v>
      </c>
      <c r="D92" s="43" t="s">
        <v>740</v>
      </c>
      <c r="E92" s="43" t="s">
        <v>741</v>
      </c>
      <c r="F92" s="43" t="s">
        <v>1109</v>
      </c>
      <c r="G92" s="51" t="s">
        <v>1202</v>
      </c>
      <c r="H92" s="51" t="s">
        <v>1203</v>
      </c>
      <c r="I92" s="51" t="s">
        <v>109</v>
      </c>
      <c r="J92" s="51" t="s">
        <v>1204</v>
      </c>
      <c r="K92" s="192" t="s">
        <v>579</v>
      </c>
    </row>
    <row r="93" spans="2:11" ht="30">
      <c r="B93" s="47" t="s">
        <v>742</v>
      </c>
      <c r="C93" s="43" t="s">
        <v>46</v>
      </c>
      <c r="D93" s="43" t="s">
        <v>743</v>
      </c>
      <c r="E93" s="43" t="s">
        <v>744</v>
      </c>
      <c r="F93" s="43" t="s">
        <v>1109</v>
      </c>
      <c r="G93" s="51" t="s">
        <v>1205</v>
      </c>
      <c r="H93" s="51" t="s">
        <v>1206</v>
      </c>
      <c r="I93" s="51" t="s">
        <v>1207</v>
      </c>
      <c r="J93" s="51" t="s">
        <v>578</v>
      </c>
      <c r="K93" s="192" t="s">
        <v>579</v>
      </c>
    </row>
    <row r="94" spans="2:11" ht="30">
      <c r="B94" s="47" t="s">
        <v>745</v>
      </c>
      <c r="C94" s="43" t="s">
        <v>581</v>
      </c>
      <c r="D94" s="43" t="s">
        <v>746</v>
      </c>
      <c r="E94" s="43" t="s">
        <v>747</v>
      </c>
      <c r="F94" s="43" t="s">
        <v>1109</v>
      </c>
      <c r="G94" s="51" t="s">
        <v>1208</v>
      </c>
      <c r="H94" s="51" t="s">
        <v>1209</v>
      </c>
      <c r="I94" s="51" t="s">
        <v>581</v>
      </c>
      <c r="J94" s="51" t="s">
        <v>1136</v>
      </c>
      <c r="K94" s="192" t="s">
        <v>579</v>
      </c>
    </row>
    <row r="95" spans="2:11">
      <c r="B95" s="60"/>
      <c r="C95" s="59"/>
      <c r="D95" s="59"/>
      <c r="E95" s="59"/>
      <c r="F95" s="59"/>
      <c r="G95" s="59"/>
      <c r="H95" s="59"/>
      <c r="I95" s="59"/>
      <c r="J95" s="59"/>
      <c r="K95" s="77"/>
    </row>
    <row r="96" spans="2:11">
      <c r="B96" s="60"/>
      <c r="C96" s="59"/>
      <c r="D96" s="59"/>
      <c r="E96" s="59"/>
      <c r="F96" s="59"/>
      <c r="G96" s="59"/>
      <c r="H96" s="59"/>
      <c r="I96" s="59"/>
      <c r="J96" s="59"/>
      <c r="K96" s="77"/>
    </row>
    <row r="97" spans="2:11" ht="17.25">
      <c r="B97" s="95" t="s">
        <v>748</v>
      </c>
      <c r="C97" s="59"/>
      <c r="D97" s="59"/>
      <c r="E97" s="59"/>
      <c r="F97" s="59"/>
      <c r="G97" s="59"/>
      <c r="H97" s="59"/>
      <c r="I97" s="59"/>
      <c r="J97" s="59"/>
      <c r="K97" s="77"/>
    </row>
    <row r="98" spans="2:11">
      <c r="B98" s="49"/>
      <c r="C98" s="59"/>
      <c r="D98" s="59"/>
      <c r="E98" s="59"/>
      <c r="F98" s="59"/>
      <c r="G98" s="59"/>
      <c r="H98" s="59"/>
      <c r="I98" s="59"/>
      <c r="J98" s="59"/>
      <c r="K98" s="77"/>
    </row>
    <row r="99" spans="2:11">
      <c r="B99" s="49" t="s">
        <v>749</v>
      </c>
      <c r="C99" s="59"/>
      <c r="D99" s="59"/>
      <c r="E99" s="59"/>
      <c r="F99" s="59"/>
      <c r="G99" s="59"/>
      <c r="H99" s="59"/>
      <c r="I99" s="59"/>
      <c r="J99" s="59"/>
      <c r="K99" s="77"/>
    </row>
    <row r="100" spans="2:11">
      <c r="B100" s="49" t="s">
        <v>750</v>
      </c>
      <c r="C100" s="59"/>
      <c r="D100" s="59"/>
      <c r="E100" s="59"/>
      <c r="F100" s="59"/>
      <c r="G100" s="59"/>
      <c r="H100" s="59"/>
      <c r="I100" s="59"/>
      <c r="J100" s="59"/>
      <c r="K100" s="77"/>
    </row>
    <row r="101" spans="2:11">
      <c r="B101" s="49" t="s">
        <v>751</v>
      </c>
      <c r="C101" s="59"/>
      <c r="D101" s="59"/>
      <c r="E101" s="59"/>
      <c r="F101" s="59"/>
      <c r="G101" s="59"/>
      <c r="H101" s="59"/>
      <c r="I101" s="59"/>
      <c r="J101" s="59"/>
      <c r="K101" s="77"/>
    </row>
    <row r="102" spans="2:11">
      <c r="B102" s="49" t="s">
        <v>752</v>
      </c>
      <c r="C102" s="59"/>
      <c r="D102" s="59"/>
      <c r="E102" s="59"/>
      <c r="F102" s="59"/>
      <c r="G102" s="59"/>
      <c r="H102" s="59"/>
      <c r="I102" s="59"/>
      <c r="J102" s="59"/>
      <c r="K102" s="77"/>
    </row>
    <row r="103" spans="2:11">
      <c r="B103" s="49" t="s">
        <v>753</v>
      </c>
      <c r="C103" s="59"/>
      <c r="D103" s="59"/>
      <c r="E103" s="59"/>
      <c r="F103" s="59"/>
      <c r="G103" s="59"/>
      <c r="H103" s="59"/>
      <c r="I103" s="59"/>
      <c r="J103" s="59"/>
      <c r="K103" s="77"/>
    </row>
    <row r="104" spans="2:11">
      <c r="B104" s="49" t="s">
        <v>754</v>
      </c>
      <c r="C104" s="59"/>
      <c r="D104" s="59"/>
      <c r="E104" s="59"/>
      <c r="F104" s="59"/>
      <c r="G104" s="59"/>
      <c r="H104" s="59"/>
      <c r="I104" s="59"/>
      <c r="J104" s="59"/>
      <c r="K104" s="77"/>
    </row>
    <row r="105" spans="2:11">
      <c r="B105" s="49" t="s">
        <v>755</v>
      </c>
      <c r="C105" s="59"/>
      <c r="D105" s="59"/>
      <c r="E105" s="59"/>
      <c r="F105" s="59"/>
      <c r="G105" s="59"/>
      <c r="H105" s="59"/>
      <c r="I105" s="59"/>
      <c r="J105" s="59"/>
      <c r="K105" s="77"/>
    </row>
    <row r="106" spans="2:11">
      <c r="B106" s="49" t="s">
        <v>756</v>
      </c>
      <c r="C106" s="59"/>
      <c r="D106" s="59"/>
      <c r="E106" s="59"/>
      <c r="F106" s="59"/>
      <c r="G106" s="59"/>
      <c r="H106" s="59"/>
      <c r="I106" s="59"/>
      <c r="J106" s="59"/>
      <c r="K106" s="77"/>
    </row>
    <row r="107" spans="2:11">
      <c r="B107" s="49" t="s">
        <v>757</v>
      </c>
      <c r="C107" s="59"/>
      <c r="D107" s="59"/>
      <c r="E107" s="59"/>
      <c r="F107" s="59"/>
      <c r="G107" s="59"/>
      <c r="H107" s="59"/>
      <c r="I107" s="59"/>
      <c r="J107" s="59"/>
      <c r="K107" s="77"/>
    </row>
    <row r="108" spans="2:11">
      <c r="B108" s="49" t="s">
        <v>758</v>
      </c>
      <c r="C108" s="59"/>
      <c r="D108" s="59"/>
      <c r="E108" s="59"/>
      <c r="F108" s="59"/>
      <c r="G108" s="59"/>
      <c r="H108" s="59"/>
      <c r="I108" s="59"/>
      <c r="J108" s="59"/>
      <c r="K108" s="77"/>
    </row>
    <row r="109" spans="2:11" ht="22.5">
      <c r="B109" s="97" t="s">
        <v>759</v>
      </c>
      <c r="C109" s="86"/>
      <c r="D109" s="86"/>
      <c r="E109" s="86"/>
      <c r="F109" s="86"/>
      <c r="G109" s="86"/>
      <c r="H109" s="86"/>
      <c r="I109" s="86"/>
      <c r="J109" s="86"/>
      <c r="K109" s="87"/>
    </row>
    <row r="110" spans="2:11">
      <c r="B110" s="60"/>
      <c r="C110" s="59"/>
      <c r="D110" s="59"/>
      <c r="E110" s="59"/>
      <c r="F110" s="59"/>
      <c r="G110" s="59"/>
      <c r="H110" s="59"/>
      <c r="I110" s="59"/>
      <c r="J110" s="59"/>
      <c r="K110" s="77"/>
    </row>
    <row r="111" spans="2:11">
      <c r="B111" s="88" t="s">
        <v>572</v>
      </c>
      <c r="C111" s="72" t="s">
        <v>39</v>
      </c>
      <c r="D111" s="72" t="s">
        <v>493</v>
      </c>
      <c r="E111" s="72" t="s">
        <v>67</v>
      </c>
      <c r="F111" s="72" t="s">
        <v>842</v>
      </c>
      <c r="G111" s="89" t="s">
        <v>11</v>
      </c>
      <c r="H111" s="89" t="s">
        <v>41</v>
      </c>
      <c r="I111" s="89" t="s">
        <v>42</v>
      </c>
      <c r="J111" s="89" t="s">
        <v>43</v>
      </c>
      <c r="K111" s="90" t="s">
        <v>44</v>
      </c>
    </row>
    <row r="112" spans="2:11" ht="45">
      <c r="B112" s="47" t="s">
        <v>760</v>
      </c>
      <c r="C112" s="43" t="s">
        <v>581</v>
      </c>
      <c r="D112" s="43" t="s">
        <v>761</v>
      </c>
      <c r="E112" s="43" t="s">
        <v>762</v>
      </c>
      <c r="F112" s="43" t="s">
        <v>1109</v>
      </c>
      <c r="G112" s="51" t="s">
        <v>1210</v>
      </c>
      <c r="H112" s="51" t="s">
        <v>1211</v>
      </c>
      <c r="I112" s="51" t="s">
        <v>581</v>
      </c>
      <c r="J112" s="51" t="s">
        <v>578</v>
      </c>
      <c r="K112" s="192" t="s">
        <v>579</v>
      </c>
    </row>
    <row r="113" spans="2:11" ht="30">
      <c r="B113" s="47" t="s">
        <v>763</v>
      </c>
      <c r="C113" s="43" t="s">
        <v>243</v>
      </c>
      <c r="D113" s="43" t="s">
        <v>764</v>
      </c>
      <c r="E113" s="43" t="s">
        <v>765</v>
      </c>
      <c r="F113" s="43" t="s">
        <v>1109</v>
      </c>
      <c r="G113" s="51" t="s">
        <v>1212</v>
      </c>
      <c r="H113" s="51" t="s">
        <v>1213</v>
      </c>
      <c r="I113" s="51" t="s">
        <v>243</v>
      </c>
      <c r="J113" s="51" t="s">
        <v>578</v>
      </c>
      <c r="K113" s="192" t="s">
        <v>579</v>
      </c>
    </row>
    <row r="114" spans="2:11" ht="30">
      <c r="B114" s="47" t="s">
        <v>766</v>
      </c>
      <c r="C114" s="43" t="s">
        <v>156</v>
      </c>
      <c r="D114" s="43" t="s">
        <v>767</v>
      </c>
      <c r="E114" s="43" t="s">
        <v>768</v>
      </c>
      <c r="F114" s="43" t="s">
        <v>1109</v>
      </c>
      <c r="G114" s="51" t="s">
        <v>1214</v>
      </c>
      <c r="H114" s="51" t="s">
        <v>1215</v>
      </c>
      <c r="I114" s="51" t="s">
        <v>156</v>
      </c>
      <c r="J114" s="51" t="s">
        <v>586</v>
      </c>
      <c r="K114" s="192" t="s">
        <v>579</v>
      </c>
    </row>
    <row r="115" spans="2:11" ht="30">
      <c r="B115" s="47" t="s">
        <v>231</v>
      </c>
      <c r="C115" s="43" t="s">
        <v>46</v>
      </c>
      <c r="D115" s="43" t="s">
        <v>769</v>
      </c>
      <c r="E115" s="43" t="s">
        <v>770</v>
      </c>
      <c r="F115" s="43" t="s">
        <v>1109</v>
      </c>
      <c r="G115" s="51" t="s">
        <v>1216</v>
      </c>
      <c r="H115" s="51" t="s">
        <v>1217</v>
      </c>
      <c r="I115" s="51" t="s">
        <v>46</v>
      </c>
      <c r="J115" s="51" t="s">
        <v>578</v>
      </c>
      <c r="K115" s="192" t="s">
        <v>579</v>
      </c>
    </row>
    <row r="116" spans="2:11" ht="30">
      <c r="B116" s="47" t="s">
        <v>771</v>
      </c>
      <c r="C116" s="43" t="s">
        <v>581</v>
      </c>
      <c r="D116" s="43" t="s">
        <v>772</v>
      </c>
      <c r="E116" s="43" t="s">
        <v>773</v>
      </c>
      <c r="F116" s="43" t="s">
        <v>1109</v>
      </c>
      <c r="G116" s="51" t="s">
        <v>1218</v>
      </c>
      <c r="H116" s="51" t="s">
        <v>1219</v>
      </c>
      <c r="I116" s="51" t="s">
        <v>581</v>
      </c>
      <c r="J116" s="51" t="s">
        <v>1136</v>
      </c>
      <c r="K116" s="192" t="s">
        <v>579</v>
      </c>
    </row>
    <row r="117" spans="2:11" ht="45.75" thickBot="1">
      <c r="B117" s="52" t="s">
        <v>774</v>
      </c>
      <c r="C117" s="54" t="s">
        <v>581</v>
      </c>
      <c r="D117" s="54" t="s">
        <v>775</v>
      </c>
      <c r="E117" s="54" t="s">
        <v>776</v>
      </c>
      <c r="F117" s="54" t="s">
        <v>1109</v>
      </c>
      <c r="G117" s="159" t="s">
        <v>1220</v>
      </c>
      <c r="H117" s="159" t="s">
        <v>1221</v>
      </c>
      <c r="I117" s="159" t="s">
        <v>581</v>
      </c>
      <c r="J117" s="159" t="s">
        <v>578</v>
      </c>
      <c r="K117" s="193" t="s">
        <v>579</v>
      </c>
    </row>
    <row r="118" spans="2:11" ht="30">
      <c r="B118" s="96" t="s">
        <v>234</v>
      </c>
      <c r="C118" s="83"/>
      <c r="D118" s="83"/>
      <c r="E118" s="83"/>
      <c r="F118" s="83"/>
      <c r="G118" s="83"/>
      <c r="H118" s="83"/>
      <c r="I118" s="83"/>
      <c r="J118" s="83"/>
      <c r="K118" s="84"/>
    </row>
    <row r="119" spans="2:11">
      <c r="B119" s="60"/>
      <c r="C119" s="59"/>
      <c r="D119" s="59"/>
      <c r="E119" s="59"/>
      <c r="F119" s="59"/>
      <c r="G119" s="59"/>
      <c r="H119" s="59"/>
      <c r="I119" s="59"/>
      <c r="J119" s="59"/>
      <c r="K119" s="77"/>
    </row>
    <row r="120" spans="2:11" ht="22.5">
      <c r="B120" s="97" t="s">
        <v>777</v>
      </c>
      <c r="C120" s="86"/>
      <c r="D120" s="86"/>
      <c r="E120" s="86"/>
      <c r="F120" s="86"/>
      <c r="G120" s="86"/>
      <c r="H120" s="86"/>
      <c r="I120" s="86"/>
      <c r="J120" s="86"/>
      <c r="K120" s="87"/>
    </row>
    <row r="121" spans="2:11">
      <c r="B121" s="88" t="s">
        <v>572</v>
      </c>
      <c r="C121" s="72" t="s">
        <v>39</v>
      </c>
      <c r="D121" s="72" t="s">
        <v>493</v>
      </c>
      <c r="E121" s="72" t="s">
        <v>67</v>
      </c>
      <c r="F121" s="72" t="s">
        <v>842</v>
      </c>
      <c r="G121" s="89" t="s">
        <v>11</v>
      </c>
      <c r="H121" s="89" t="s">
        <v>41</v>
      </c>
      <c r="I121" s="89" t="s">
        <v>42</v>
      </c>
      <c r="J121" s="89" t="s">
        <v>43</v>
      </c>
      <c r="K121" s="90" t="s">
        <v>44</v>
      </c>
    </row>
    <row r="122" spans="2:11" ht="60">
      <c r="B122" s="47" t="s">
        <v>778</v>
      </c>
      <c r="C122" s="51" t="s">
        <v>46</v>
      </c>
      <c r="D122" s="51" t="s">
        <v>1167</v>
      </c>
      <c r="E122" s="51" t="s">
        <v>1168</v>
      </c>
      <c r="F122" s="43" t="s">
        <v>1109</v>
      </c>
      <c r="G122" s="51" t="s">
        <v>1169</v>
      </c>
      <c r="H122" s="51" t="s">
        <v>1170</v>
      </c>
      <c r="I122" s="51" t="s">
        <v>62</v>
      </c>
      <c r="J122" s="51" t="s">
        <v>578</v>
      </c>
      <c r="K122" s="192" t="s">
        <v>579</v>
      </c>
    </row>
    <row r="123" spans="2:11" ht="45">
      <c r="B123" s="47" t="s">
        <v>779</v>
      </c>
      <c r="C123" s="51" t="s">
        <v>1171</v>
      </c>
      <c r="D123" s="51" t="s">
        <v>1172</v>
      </c>
      <c r="E123" s="51" t="s">
        <v>1173</v>
      </c>
      <c r="F123" s="43" t="s">
        <v>1109</v>
      </c>
      <c r="G123" s="51" t="s">
        <v>1174</v>
      </c>
      <c r="H123" s="51" t="s">
        <v>1175</v>
      </c>
      <c r="I123" s="51" t="s">
        <v>1171</v>
      </c>
      <c r="J123" s="51" t="s">
        <v>578</v>
      </c>
      <c r="K123" s="192" t="s">
        <v>579</v>
      </c>
    </row>
    <row r="124" spans="2:11" ht="45">
      <c r="B124" s="92" t="s">
        <v>780</v>
      </c>
      <c r="C124" s="51" t="s">
        <v>581</v>
      </c>
      <c r="D124" s="51" t="s">
        <v>1176</v>
      </c>
      <c r="E124" s="51" t="s">
        <v>1177</v>
      </c>
      <c r="F124" s="43" t="s">
        <v>1109</v>
      </c>
      <c r="G124" s="51" t="s">
        <v>1178</v>
      </c>
      <c r="H124" s="51" t="s">
        <v>1179</v>
      </c>
      <c r="I124" s="51" t="s">
        <v>581</v>
      </c>
      <c r="J124" s="51" t="s">
        <v>615</v>
      </c>
      <c r="K124" s="192" t="s">
        <v>579</v>
      </c>
    </row>
    <row r="125" spans="2:11" ht="22.5">
      <c r="B125" s="50" t="s">
        <v>781</v>
      </c>
      <c r="C125" s="59"/>
      <c r="D125" s="59"/>
      <c r="E125" s="59"/>
      <c r="F125" s="59"/>
      <c r="G125" s="59"/>
      <c r="H125" s="59"/>
      <c r="I125" s="59"/>
      <c r="J125" s="59"/>
      <c r="K125" s="77"/>
    </row>
    <row r="126" spans="2:11">
      <c r="B126" s="60"/>
      <c r="C126" s="59"/>
      <c r="D126" s="59"/>
      <c r="E126" s="59"/>
      <c r="F126" s="59"/>
      <c r="G126" s="59"/>
      <c r="H126" s="59"/>
      <c r="I126" s="59"/>
      <c r="J126" s="59"/>
      <c r="K126" s="77"/>
    </row>
    <row r="127" spans="2:11">
      <c r="B127" s="88" t="s">
        <v>572</v>
      </c>
      <c r="C127" s="72" t="s">
        <v>39</v>
      </c>
      <c r="D127" s="72" t="s">
        <v>493</v>
      </c>
      <c r="E127" s="72" t="s">
        <v>67</v>
      </c>
      <c r="F127" s="72" t="s">
        <v>842</v>
      </c>
      <c r="G127" s="89" t="s">
        <v>11</v>
      </c>
      <c r="H127" s="89" t="s">
        <v>41</v>
      </c>
      <c r="I127" s="89" t="s">
        <v>42</v>
      </c>
      <c r="J127" s="89" t="s">
        <v>43</v>
      </c>
      <c r="K127" s="90" t="s">
        <v>44</v>
      </c>
    </row>
    <row r="128" spans="2:11" ht="45">
      <c r="B128" s="47" t="s">
        <v>782</v>
      </c>
      <c r="C128" s="51" t="s">
        <v>156</v>
      </c>
      <c r="D128" s="51" t="s">
        <v>1222</v>
      </c>
      <c r="E128" s="51" t="s">
        <v>1223</v>
      </c>
      <c r="F128" s="43" t="s">
        <v>1109</v>
      </c>
      <c r="G128" s="51" t="s">
        <v>1224</v>
      </c>
      <c r="H128" s="51" t="s">
        <v>1225</v>
      </c>
      <c r="I128" s="51" t="s">
        <v>156</v>
      </c>
      <c r="J128" s="51" t="s">
        <v>1136</v>
      </c>
      <c r="K128" s="192" t="s">
        <v>579</v>
      </c>
    </row>
    <row r="129" spans="2:11" ht="45">
      <c r="B129" s="47" t="s">
        <v>783</v>
      </c>
      <c r="C129" s="51" t="s">
        <v>156</v>
      </c>
      <c r="D129" s="51" t="s">
        <v>1226</v>
      </c>
      <c r="E129" s="51" t="s">
        <v>1227</v>
      </c>
      <c r="F129" s="43" t="s">
        <v>1109</v>
      </c>
      <c r="G129" s="51" t="s">
        <v>1228</v>
      </c>
      <c r="H129" s="51" t="s">
        <v>1229</v>
      </c>
      <c r="I129" s="51" t="s">
        <v>156</v>
      </c>
      <c r="J129" s="51" t="s">
        <v>615</v>
      </c>
      <c r="K129" s="192" t="s">
        <v>579</v>
      </c>
    </row>
    <row r="130" spans="2:11" ht="45">
      <c r="B130" s="47" t="s">
        <v>784</v>
      </c>
      <c r="C130" s="51" t="s">
        <v>156</v>
      </c>
      <c r="D130" s="51" t="s">
        <v>1230</v>
      </c>
      <c r="E130" s="51" t="s">
        <v>1231</v>
      </c>
      <c r="F130" s="43" t="s">
        <v>1109</v>
      </c>
      <c r="G130" s="51" t="s">
        <v>1232</v>
      </c>
      <c r="H130" s="51" t="s">
        <v>1233</v>
      </c>
      <c r="I130" s="51" t="s">
        <v>1234</v>
      </c>
      <c r="J130" s="51" t="s">
        <v>1156</v>
      </c>
      <c r="K130" s="192" t="s">
        <v>579</v>
      </c>
    </row>
    <row r="131" spans="2:11" ht="22.5">
      <c r="B131" s="97" t="s">
        <v>785</v>
      </c>
      <c r="C131" s="86"/>
      <c r="D131" s="86"/>
      <c r="E131" s="86"/>
      <c r="F131" s="86"/>
      <c r="G131" s="86"/>
      <c r="H131" s="86"/>
      <c r="I131" s="86"/>
      <c r="J131" s="86"/>
      <c r="K131" s="87"/>
    </row>
    <row r="132" spans="2:11">
      <c r="B132" s="60"/>
      <c r="C132" s="59"/>
      <c r="D132" s="59"/>
      <c r="E132" s="59"/>
      <c r="F132" s="59"/>
      <c r="G132" s="59"/>
      <c r="H132" s="59"/>
      <c r="I132" s="59"/>
      <c r="J132" s="59"/>
      <c r="K132" s="77"/>
    </row>
    <row r="133" spans="2:11">
      <c r="B133" s="88" t="s">
        <v>572</v>
      </c>
      <c r="C133" s="72" t="s">
        <v>39</v>
      </c>
      <c r="D133" s="72" t="s">
        <v>493</v>
      </c>
      <c r="E133" s="72" t="s">
        <v>67</v>
      </c>
      <c r="F133" s="72" t="s">
        <v>842</v>
      </c>
      <c r="G133" s="89" t="s">
        <v>11</v>
      </c>
      <c r="H133" s="89" t="s">
        <v>41</v>
      </c>
      <c r="I133" s="89" t="s">
        <v>42</v>
      </c>
      <c r="J133" s="89" t="s">
        <v>43</v>
      </c>
      <c r="K133" s="90" t="s">
        <v>44</v>
      </c>
    </row>
    <row r="134" spans="2:11" ht="45">
      <c r="B134" s="47" t="s">
        <v>786</v>
      </c>
      <c r="C134" s="51" t="s">
        <v>695</v>
      </c>
      <c r="D134" s="51" t="s">
        <v>1235</v>
      </c>
      <c r="E134" s="51" t="s">
        <v>1236</v>
      </c>
      <c r="F134" s="43" t="s">
        <v>1109</v>
      </c>
      <c r="G134" s="51" t="s">
        <v>1237</v>
      </c>
      <c r="H134" s="51" t="s">
        <v>1238</v>
      </c>
      <c r="I134" s="51" t="s">
        <v>695</v>
      </c>
      <c r="J134" s="51" t="s">
        <v>586</v>
      </c>
      <c r="K134" s="192" t="s">
        <v>579</v>
      </c>
    </row>
    <row r="135" spans="2:11" ht="45">
      <c r="B135" s="92" t="s">
        <v>787</v>
      </c>
      <c r="C135" s="51" t="s">
        <v>695</v>
      </c>
      <c r="D135" s="51" t="s">
        <v>1239</v>
      </c>
      <c r="E135" s="51" t="s">
        <v>1240</v>
      </c>
      <c r="F135" s="43" t="s">
        <v>1109</v>
      </c>
      <c r="G135" s="51" t="s">
        <v>1241</v>
      </c>
      <c r="H135" s="51" t="s">
        <v>1242</v>
      </c>
      <c r="I135" s="51" t="s">
        <v>1243</v>
      </c>
      <c r="J135" s="51" t="s">
        <v>578</v>
      </c>
      <c r="K135" s="192" t="s">
        <v>579</v>
      </c>
    </row>
    <row r="136" spans="2:11" ht="22.5">
      <c r="B136" s="97" t="s">
        <v>788</v>
      </c>
      <c r="C136" s="86"/>
      <c r="D136" s="86"/>
      <c r="E136" s="86"/>
      <c r="F136" s="86"/>
      <c r="G136" s="86"/>
      <c r="H136" s="86"/>
      <c r="I136" s="86"/>
      <c r="J136" s="86"/>
      <c r="K136" s="87"/>
    </row>
    <row r="137" spans="2:11">
      <c r="B137" s="60"/>
      <c r="C137" s="59"/>
      <c r="D137" s="59"/>
      <c r="E137" s="59"/>
      <c r="F137" s="59"/>
      <c r="G137" s="59"/>
      <c r="H137" s="59"/>
      <c r="I137" s="59"/>
      <c r="J137" s="59"/>
      <c r="K137" s="77"/>
    </row>
    <row r="138" spans="2:11">
      <c r="B138" s="88" t="s">
        <v>572</v>
      </c>
      <c r="C138" s="72" t="s">
        <v>39</v>
      </c>
      <c r="D138" s="72" t="s">
        <v>493</v>
      </c>
      <c r="E138" s="72" t="s">
        <v>67</v>
      </c>
      <c r="F138" s="72" t="s">
        <v>842</v>
      </c>
      <c r="G138" s="89" t="s">
        <v>11</v>
      </c>
      <c r="H138" s="89" t="s">
        <v>41</v>
      </c>
      <c r="I138" s="89" t="s">
        <v>42</v>
      </c>
      <c r="J138" s="89" t="s">
        <v>43</v>
      </c>
      <c r="K138" s="90" t="s">
        <v>44</v>
      </c>
    </row>
    <row r="139" spans="2:11" ht="30">
      <c r="B139" s="47" t="s">
        <v>789</v>
      </c>
      <c r="C139" s="51" t="s">
        <v>581</v>
      </c>
      <c r="D139" s="51" t="s">
        <v>1244</v>
      </c>
      <c r="E139" s="51" t="s">
        <v>1245</v>
      </c>
      <c r="F139" s="43" t="s">
        <v>1109</v>
      </c>
      <c r="G139" s="51" t="s">
        <v>1246</v>
      </c>
      <c r="H139" s="51" t="s">
        <v>1247</v>
      </c>
      <c r="I139" s="51" t="s">
        <v>581</v>
      </c>
      <c r="J139" s="51" t="s">
        <v>1136</v>
      </c>
      <c r="K139" s="192" t="s">
        <v>579</v>
      </c>
    </row>
    <row r="140" spans="2:11" ht="45">
      <c r="B140" s="47" t="s">
        <v>790</v>
      </c>
      <c r="C140" s="51" t="s">
        <v>1248</v>
      </c>
      <c r="D140" s="51" t="s">
        <v>1249</v>
      </c>
      <c r="E140" s="51" t="s">
        <v>1250</v>
      </c>
      <c r="F140" s="43" t="s">
        <v>1109</v>
      </c>
      <c r="G140" s="51" t="s">
        <v>1251</v>
      </c>
      <c r="H140" s="51" t="s">
        <v>1252</v>
      </c>
      <c r="I140" s="51" t="s">
        <v>1248</v>
      </c>
      <c r="J140" s="51" t="s">
        <v>578</v>
      </c>
      <c r="K140" s="192" t="s">
        <v>579</v>
      </c>
    </row>
    <row r="141" spans="2:11" ht="22.5">
      <c r="B141" s="97" t="s">
        <v>791</v>
      </c>
      <c r="C141" s="86"/>
      <c r="D141" s="86"/>
      <c r="E141" s="86"/>
      <c r="F141" s="86"/>
      <c r="G141" s="86"/>
      <c r="H141" s="86"/>
      <c r="I141" s="86"/>
      <c r="J141" s="86"/>
      <c r="K141" s="87"/>
    </row>
    <row r="142" spans="2:11">
      <c r="B142" s="60"/>
      <c r="C142" s="59"/>
      <c r="D142" s="59"/>
      <c r="E142" s="59"/>
      <c r="F142" s="59"/>
      <c r="G142" s="59"/>
      <c r="H142" s="59"/>
      <c r="I142" s="59"/>
      <c r="J142" s="59"/>
      <c r="K142" s="77"/>
    </row>
    <row r="143" spans="2:11">
      <c r="B143" s="88" t="s">
        <v>572</v>
      </c>
      <c r="C143" s="72" t="s">
        <v>39</v>
      </c>
      <c r="D143" s="72" t="s">
        <v>493</v>
      </c>
      <c r="E143" s="72" t="s">
        <v>67</v>
      </c>
      <c r="F143" s="72" t="s">
        <v>842</v>
      </c>
      <c r="G143" s="89" t="s">
        <v>11</v>
      </c>
      <c r="H143" s="89" t="s">
        <v>41</v>
      </c>
      <c r="I143" s="89" t="s">
        <v>42</v>
      </c>
      <c r="J143" s="89" t="s">
        <v>43</v>
      </c>
      <c r="K143" s="90" t="s">
        <v>44</v>
      </c>
    </row>
    <row r="144" spans="2:11" ht="45">
      <c r="B144" s="47" t="s">
        <v>792</v>
      </c>
      <c r="C144" s="51" t="s">
        <v>581</v>
      </c>
      <c r="D144" s="51" t="s">
        <v>1253</v>
      </c>
      <c r="E144" s="51" t="s">
        <v>1254</v>
      </c>
      <c r="F144" s="43" t="s">
        <v>1109</v>
      </c>
      <c r="G144" s="51" t="s">
        <v>1255</v>
      </c>
      <c r="H144" s="51" t="s">
        <v>1256</v>
      </c>
      <c r="I144" s="51" t="s">
        <v>581</v>
      </c>
      <c r="J144" s="51" t="s">
        <v>1136</v>
      </c>
      <c r="K144" s="192" t="s">
        <v>579</v>
      </c>
    </row>
    <row r="145" spans="2:11" ht="45">
      <c r="B145" s="47" t="s">
        <v>793</v>
      </c>
      <c r="C145" s="51" t="s">
        <v>581</v>
      </c>
      <c r="D145" s="51" t="s">
        <v>1257</v>
      </c>
      <c r="E145" s="51" t="s">
        <v>1258</v>
      </c>
      <c r="F145" s="43" t="s">
        <v>1109</v>
      </c>
      <c r="G145" s="51" t="s">
        <v>1259</v>
      </c>
      <c r="H145" s="51" t="s">
        <v>1260</v>
      </c>
      <c r="I145" s="51" t="s">
        <v>581</v>
      </c>
      <c r="J145" s="51" t="s">
        <v>1136</v>
      </c>
      <c r="K145" s="192" t="s">
        <v>579</v>
      </c>
    </row>
    <row r="146" spans="2:11" ht="30.75" thickBot="1">
      <c r="B146" s="52" t="s">
        <v>794</v>
      </c>
      <c r="C146" s="159" t="s">
        <v>46</v>
      </c>
      <c r="D146" s="159" t="s">
        <v>1261</v>
      </c>
      <c r="E146" s="159" t="s">
        <v>1262</v>
      </c>
      <c r="F146" s="54" t="s">
        <v>1109</v>
      </c>
      <c r="G146" s="159" t="s">
        <v>1263</v>
      </c>
      <c r="H146" s="159" t="s">
        <v>1264</v>
      </c>
      <c r="I146" s="159" t="s">
        <v>707</v>
      </c>
      <c r="J146" s="159" t="s">
        <v>578</v>
      </c>
      <c r="K146" s="193" t="s">
        <v>579</v>
      </c>
    </row>
    <row r="147" spans="2:11" ht="30">
      <c r="B147" s="96" t="s">
        <v>795</v>
      </c>
      <c r="C147" s="83"/>
      <c r="D147" s="83"/>
      <c r="E147" s="83"/>
      <c r="F147" s="83"/>
      <c r="G147" s="83"/>
      <c r="H147" s="83"/>
      <c r="I147" s="83"/>
      <c r="J147" s="83"/>
      <c r="K147" s="84"/>
    </row>
    <row r="148" spans="2:11">
      <c r="B148" s="60"/>
      <c r="C148" s="59"/>
      <c r="D148" s="59"/>
      <c r="E148" s="59"/>
      <c r="F148" s="59"/>
      <c r="G148" s="59"/>
      <c r="H148" s="59"/>
      <c r="I148" s="59"/>
      <c r="J148" s="59"/>
      <c r="K148" s="77"/>
    </row>
    <row r="149" spans="2:11">
      <c r="B149" s="60"/>
      <c r="C149" s="59"/>
      <c r="D149" s="59"/>
      <c r="E149" s="59"/>
      <c r="F149" s="59"/>
      <c r="G149" s="59"/>
      <c r="H149" s="59"/>
      <c r="I149" s="59"/>
      <c r="J149" s="59"/>
      <c r="K149" s="77"/>
    </row>
    <row r="150" spans="2:11" ht="22.5">
      <c r="B150" s="97" t="s">
        <v>796</v>
      </c>
      <c r="C150" s="86"/>
      <c r="D150" s="86"/>
      <c r="E150" s="86"/>
      <c r="F150" s="86"/>
      <c r="G150" s="86"/>
      <c r="H150" s="86"/>
      <c r="I150" s="86"/>
      <c r="J150" s="86"/>
      <c r="K150" s="87"/>
    </row>
    <row r="151" spans="2:11">
      <c r="B151" s="60"/>
      <c r="C151" s="59"/>
      <c r="D151" s="59"/>
      <c r="E151" s="59"/>
      <c r="F151" s="59"/>
      <c r="G151" s="59"/>
      <c r="H151" s="59"/>
      <c r="I151" s="59"/>
      <c r="J151" s="59"/>
      <c r="K151" s="77"/>
    </row>
    <row r="152" spans="2:11">
      <c r="B152" s="88" t="s">
        <v>572</v>
      </c>
      <c r="C152" s="72" t="s">
        <v>39</v>
      </c>
      <c r="D152" s="72" t="s">
        <v>493</v>
      </c>
      <c r="E152" s="72" t="s">
        <v>67</v>
      </c>
      <c r="F152" s="72" t="s">
        <v>842</v>
      </c>
      <c r="G152" s="89" t="s">
        <v>11</v>
      </c>
      <c r="H152" s="89" t="s">
        <v>41</v>
      </c>
      <c r="I152" s="89" t="s">
        <v>42</v>
      </c>
      <c r="J152" s="89" t="s">
        <v>43</v>
      </c>
      <c r="K152" s="90" t="s">
        <v>44</v>
      </c>
    </row>
    <row r="153" spans="2:11" ht="60">
      <c r="B153" s="47" t="s">
        <v>633</v>
      </c>
      <c r="C153" s="51" t="s">
        <v>581</v>
      </c>
      <c r="D153" s="51" t="s">
        <v>1265</v>
      </c>
      <c r="E153" s="51" t="s">
        <v>1266</v>
      </c>
      <c r="F153" s="43" t="s">
        <v>1109</v>
      </c>
      <c r="G153" s="51" t="s">
        <v>1267</v>
      </c>
      <c r="H153" s="51" t="s">
        <v>1268</v>
      </c>
      <c r="I153" s="51" t="s">
        <v>581</v>
      </c>
      <c r="J153" s="51" t="s">
        <v>1136</v>
      </c>
      <c r="K153" s="192" t="s">
        <v>579</v>
      </c>
    </row>
    <row r="154" spans="2:11" ht="45">
      <c r="B154" s="47" t="s">
        <v>797</v>
      </c>
      <c r="C154" s="51" t="s">
        <v>581</v>
      </c>
      <c r="D154" s="51" t="s">
        <v>1269</v>
      </c>
      <c r="E154" s="51" t="s">
        <v>1270</v>
      </c>
      <c r="F154" s="43" t="s">
        <v>1109</v>
      </c>
      <c r="G154" s="51" t="s">
        <v>1271</v>
      </c>
      <c r="H154" s="51" t="s">
        <v>1272</v>
      </c>
      <c r="I154" s="51" t="s">
        <v>1273</v>
      </c>
      <c r="J154" s="51" t="s">
        <v>578</v>
      </c>
      <c r="K154" s="192" t="s">
        <v>579</v>
      </c>
    </row>
    <row r="155" spans="2:11" ht="45">
      <c r="B155" s="47" t="s">
        <v>798</v>
      </c>
      <c r="C155" s="51" t="s">
        <v>46</v>
      </c>
      <c r="D155" s="51" t="s">
        <v>1274</v>
      </c>
      <c r="E155" s="51" t="s">
        <v>1275</v>
      </c>
      <c r="F155" s="43" t="s">
        <v>1109</v>
      </c>
      <c r="G155" s="51" t="s">
        <v>1276</v>
      </c>
      <c r="H155" s="51" t="s">
        <v>1277</v>
      </c>
      <c r="I155" s="51" t="s">
        <v>62</v>
      </c>
      <c r="J155" s="51" t="s">
        <v>578</v>
      </c>
      <c r="K155" s="192" t="s">
        <v>579</v>
      </c>
    </row>
    <row r="156" spans="2:11" ht="22.5">
      <c r="B156" s="97" t="s">
        <v>799</v>
      </c>
      <c r="C156" s="86"/>
      <c r="D156" s="86"/>
      <c r="E156" s="86"/>
      <c r="F156" s="86"/>
      <c r="G156" s="86"/>
      <c r="H156" s="86"/>
      <c r="I156" s="86"/>
      <c r="J156" s="86"/>
      <c r="K156" s="87"/>
    </row>
    <row r="157" spans="2:11">
      <c r="B157" s="60"/>
      <c r="C157" s="59"/>
      <c r="D157" s="59"/>
      <c r="E157" s="59"/>
      <c r="F157" s="59"/>
      <c r="G157" s="59"/>
      <c r="H157" s="59"/>
      <c r="I157" s="59"/>
      <c r="J157" s="59"/>
      <c r="K157" s="77"/>
    </row>
    <row r="158" spans="2:11">
      <c r="B158" s="88" t="s">
        <v>572</v>
      </c>
      <c r="C158" s="72" t="s">
        <v>39</v>
      </c>
      <c r="D158" s="72" t="s">
        <v>493</v>
      </c>
      <c r="E158" s="72" t="s">
        <v>67</v>
      </c>
      <c r="F158" s="72" t="s">
        <v>842</v>
      </c>
      <c r="G158" s="89" t="s">
        <v>11</v>
      </c>
      <c r="H158" s="89" t="s">
        <v>41</v>
      </c>
      <c r="I158" s="89" t="s">
        <v>42</v>
      </c>
      <c r="J158" s="89" t="s">
        <v>43</v>
      </c>
      <c r="K158" s="90" t="s">
        <v>44</v>
      </c>
    </row>
    <row r="159" spans="2:11" ht="45">
      <c r="B159" s="47" t="s">
        <v>800</v>
      </c>
      <c r="C159" s="51" t="s">
        <v>707</v>
      </c>
      <c r="D159" s="51" t="s">
        <v>1278</v>
      </c>
      <c r="E159" s="51" t="s">
        <v>1279</v>
      </c>
      <c r="F159" s="43" t="s">
        <v>1109</v>
      </c>
      <c r="G159" s="51" t="s">
        <v>1280</v>
      </c>
      <c r="H159" s="51" t="s">
        <v>1281</v>
      </c>
      <c r="I159" s="51" t="s">
        <v>581</v>
      </c>
      <c r="J159" s="51" t="s">
        <v>1204</v>
      </c>
      <c r="K159" s="192" t="s">
        <v>579</v>
      </c>
    </row>
    <row r="160" spans="2:11" ht="45">
      <c r="B160" s="47" t="s">
        <v>801</v>
      </c>
      <c r="C160" s="51" t="s">
        <v>599</v>
      </c>
      <c r="D160" s="51" t="s">
        <v>1282</v>
      </c>
      <c r="E160" s="51" t="s">
        <v>1283</v>
      </c>
      <c r="F160" s="43" t="s">
        <v>1109</v>
      </c>
      <c r="G160" s="51" t="s">
        <v>1284</v>
      </c>
      <c r="H160" s="51" t="s">
        <v>1285</v>
      </c>
      <c r="I160" s="51" t="s">
        <v>1286</v>
      </c>
      <c r="J160" s="51" t="s">
        <v>1136</v>
      </c>
      <c r="K160" s="192" t="s">
        <v>579</v>
      </c>
    </row>
    <row r="161" spans="2:11" ht="45">
      <c r="B161" s="47" t="s">
        <v>802</v>
      </c>
      <c r="C161" s="51" t="s">
        <v>243</v>
      </c>
      <c r="D161" s="51" t="s">
        <v>1287</v>
      </c>
      <c r="E161" s="51" t="s">
        <v>1288</v>
      </c>
      <c r="F161" s="43" t="s">
        <v>1109</v>
      </c>
      <c r="G161" s="51" t="s">
        <v>1289</v>
      </c>
      <c r="H161" s="51" t="s">
        <v>1290</v>
      </c>
      <c r="I161" s="51" t="s">
        <v>243</v>
      </c>
      <c r="J161" s="51" t="s">
        <v>615</v>
      </c>
      <c r="K161" s="192" t="s">
        <v>579</v>
      </c>
    </row>
    <row r="162" spans="2:11">
      <c r="B162" s="60"/>
      <c r="C162" s="59"/>
      <c r="D162" s="59"/>
      <c r="E162" s="59"/>
      <c r="F162" s="59"/>
      <c r="G162" s="59"/>
      <c r="H162" s="59"/>
      <c r="I162" s="59"/>
      <c r="J162" s="59"/>
      <c r="K162" s="77"/>
    </row>
    <row r="163" spans="2:11">
      <c r="B163" s="100"/>
      <c r="C163" s="98"/>
      <c r="D163" s="98"/>
      <c r="E163" s="98"/>
      <c r="F163" s="98"/>
      <c r="G163" s="98"/>
      <c r="H163" s="98"/>
      <c r="I163" s="98"/>
      <c r="J163" s="98"/>
      <c r="K163" s="99"/>
    </row>
    <row r="164" spans="2:11" ht="22.5">
      <c r="B164" s="97" t="s">
        <v>803</v>
      </c>
      <c r="C164" s="86"/>
      <c r="D164" s="86"/>
      <c r="E164" s="86"/>
      <c r="F164" s="86"/>
      <c r="G164" s="86"/>
      <c r="H164" s="86"/>
      <c r="I164" s="86"/>
      <c r="J164" s="86"/>
      <c r="K164" s="87"/>
    </row>
    <row r="165" spans="2:11">
      <c r="B165" s="60"/>
      <c r="C165" s="59"/>
      <c r="D165" s="59"/>
      <c r="E165" s="59"/>
      <c r="F165" s="59"/>
      <c r="G165" s="59"/>
      <c r="H165" s="59"/>
      <c r="I165" s="59"/>
      <c r="J165" s="59"/>
      <c r="K165" s="77"/>
    </row>
    <row r="166" spans="2:11">
      <c r="B166" s="88" t="s">
        <v>572</v>
      </c>
      <c r="C166" s="72" t="s">
        <v>39</v>
      </c>
      <c r="D166" s="72" t="s">
        <v>493</v>
      </c>
      <c r="E166" s="72" t="s">
        <v>67</v>
      </c>
      <c r="F166" s="72" t="s">
        <v>842</v>
      </c>
      <c r="G166" s="89" t="s">
        <v>11</v>
      </c>
      <c r="H166" s="89" t="s">
        <v>41</v>
      </c>
      <c r="I166" s="89" t="s">
        <v>42</v>
      </c>
      <c r="J166" s="89" t="s">
        <v>43</v>
      </c>
      <c r="K166" s="90" t="s">
        <v>44</v>
      </c>
    </row>
    <row r="167" spans="2:11" ht="30">
      <c r="B167" s="47" t="s">
        <v>804</v>
      </c>
      <c r="C167" s="51" t="s">
        <v>581</v>
      </c>
      <c r="D167" s="51" t="s">
        <v>1291</v>
      </c>
      <c r="E167" s="51" t="s">
        <v>1292</v>
      </c>
      <c r="F167" s="43" t="s">
        <v>1109</v>
      </c>
      <c r="G167" s="51" t="s">
        <v>1293</v>
      </c>
      <c r="H167" s="51" t="s">
        <v>1294</v>
      </c>
      <c r="I167" s="51" t="s">
        <v>581</v>
      </c>
      <c r="J167" s="51" t="s">
        <v>578</v>
      </c>
      <c r="K167" s="192" t="s">
        <v>579</v>
      </c>
    </row>
    <row r="168" spans="2:11" ht="45">
      <c r="B168" s="47" t="s">
        <v>805</v>
      </c>
      <c r="C168" s="51" t="s">
        <v>581</v>
      </c>
      <c r="D168" s="51" t="s">
        <v>1295</v>
      </c>
      <c r="E168" s="51" t="s">
        <v>1296</v>
      </c>
      <c r="F168" s="43" t="s">
        <v>1109</v>
      </c>
      <c r="G168" s="51" t="s">
        <v>1297</v>
      </c>
      <c r="H168" s="51" t="s">
        <v>1298</v>
      </c>
      <c r="I168" s="51" t="s">
        <v>1273</v>
      </c>
      <c r="J168" s="51" t="s">
        <v>1136</v>
      </c>
      <c r="K168" s="192" t="s">
        <v>579</v>
      </c>
    </row>
    <row r="169" spans="2:11" ht="30">
      <c r="B169" s="47" t="s">
        <v>806</v>
      </c>
      <c r="C169" s="51" t="s">
        <v>707</v>
      </c>
      <c r="D169" s="51" t="s">
        <v>1299</v>
      </c>
      <c r="E169" s="51" t="s">
        <v>1300</v>
      </c>
      <c r="F169" s="43" t="s">
        <v>1109</v>
      </c>
      <c r="G169" s="51" t="s">
        <v>1301</v>
      </c>
      <c r="H169" s="51" t="s">
        <v>1302</v>
      </c>
      <c r="I169" s="51" t="s">
        <v>707</v>
      </c>
      <c r="J169" s="51" t="s">
        <v>578</v>
      </c>
      <c r="K169" s="192" t="s">
        <v>579</v>
      </c>
    </row>
    <row r="170" spans="2:11" ht="22.5">
      <c r="B170" s="97" t="s">
        <v>807</v>
      </c>
      <c r="C170" s="86"/>
      <c r="D170" s="86"/>
      <c r="E170" s="86"/>
      <c r="F170" s="86"/>
      <c r="G170" s="86"/>
      <c r="H170" s="86"/>
      <c r="I170" s="86"/>
      <c r="J170" s="86"/>
      <c r="K170" s="87"/>
    </row>
    <row r="171" spans="2:11">
      <c r="B171" s="60"/>
      <c r="C171" s="59"/>
      <c r="D171" s="59"/>
      <c r="E171" s="59"/>
      <c r="F171" s="59"/>
      <c r="G171" s="59"/>
      <c r="H171" s="59"/>
      <c r="I171" s="59"/>
      <c r="J171" s="59"/>
      <c r="K171" s="77"/>
    </row>
    <row r="172" spans="2:11">
      <c r="B172" s="88" t="s">
        <v>572</v>
      </c>
      <c r="C172" s="72" t="s">
        <v>39</v>
      </c>
      <c r="D172" s="72" t="s">
        <v>493</v>
      </c>
      <c r="E172" s="72" t="s">
        <v>67</v>
      </c>
      <c r="F172" s="72" t="s">
        <v>40</v>
      </c>
      <c r="G172" s="89" t="s">
        <v>11</v>
      </c>
      <c r="H172" s="89" t="s">
        <v>41</v>
      </c>
      <c r="I172" s="89" t="s">
        <v>42</v>
      </c>
      <c r="J172" s="89" t="s">
        <v>43</v>
      </c>
      <c r="K172" s="90" t="s">
        <v>44</v>
      </c>
    </row>
    <row r="173" spans="2:11" ht="30">
      <c r="B173" s="47" t="s">
        <v>808</v>
      </c>
      <c r="C173" s="51" t="s">
        <v>581</v>
      </c>
      <c r="D173" s="51" t="s">
        <v>1303</v>
      </c>
      <c r="E173" s="51" t="s">
        <v>1304</v>
      </c>
      <c r="F173" s="43" t="s">
        <v>1109</v>
      </c>
      <c r="G173" s="51" t="s">
        <v>1305</v>
      </c>
      <c r="H173" s="51" t="s">
        <v>1306</v>
      </c>
      <c r="I173" s="51" t="s">
        <v>581</v>
      </c>
      <c r="J173" s="51" t="s">
        <v>1136</v>
      </c>
      <c r="K173" s="192" t="s">
        <v>579</v>
      </c>
    </row>
    <row r="174" spans="2:11" ht="30">
      <c r="B174" s="47" t="s">
        <v>809</v>
      </c>
      <c r="C174" s="51" t="s">
        <v>82</v>
      </c>
      <c r="D174" s="51" t="s">
        <v>1307</v>
      </c>
      <c r="E174" s="51" t="s">
        <v>1308</v>
      </c>
      <c r="F174" s="43" t="s">
        <v>1109</v>
      </c>
      <c r="G174" s="51" t="s">
        <v>1309</v>
      </c>
      <c r="H174" s="51" t="s">
        <v>1310</v>
      </c>
      <c r="I174" s="51" t="s">
        <v>243</v>
      </c>
      <c r="J174" s="51" t="s">
        <v>615</v>
      </c>
      <c r="K174" s="192" t="s">
        <v>579</v>
      </c>
    </row>
    <row r="175" spans="2:11" ht="30">
      <c r="B175" s="92" t="s">
        <v>810</v>
      </c>
      <c r="C175" s="51" t="s">
        <v>1311</v>
      </c>
      <c r="D175" s="51" t="s">
        <v>1312</v>
      </c>
      <c r="E175" s="51" t="s">
        <v>1313</v>
      </c>
      <c r="F175" s="43" t="s">
        <v>1109</v>
      </c>
      <c r="G175" s="51" t="s">
        <v>1314</v>
      </c>
      <c r="H175" s="51" t="s">
        <v>1315</v>
      </c>
      <c r="I175" s="51" t="s">
        <v>1273</v>
      </c>
      <c r="J175" s="51" t="s">
        <v>1136</v>
      </c>
      <c r="K175" s="192" t="s">
        <v>579</v>
      </c>
    </row>
    <row r="176" spans="2:11" ht="22.5">
      <c r="B176" s="50" t="s">
        <v>811</v>
      </c>
      <c r="C176" s="59"/>
      <c r="D176" s="59"/>
      <c r="E176" s="59"/>
      <c r="F176" s="59"/>
      <c r="G176" s="59"/>
      <c r="H176" s="59"/>
      <c r="I176" s="59"/>
      <c r="J176" s="59"/>
      <c r="K176" s="77"/>
    </row>
    <row r="177" spans="2:11">
      <c r="B177" s="60"/>
      <c r="C177" s="59"/>
      <c r="D177" s="59"/>
      <c r="E177" s="59"/>
      <c r="F177" s="59"/>
      <c r="G177" s="59"/>
      <c r="H177" s="59"/>
      <c r="I177" s="59"/>
      <c r="J177" s="59"/>
      <c r="K177" s="77"/>
    </row>
    <row r="178" spans="2:11">
      <c r="B178" s="88" t="s">
        <v>572</v>
      </c>
      <c r="C178" s="72" t="s">
        <v>39</v>
      </c>
      <c r="D178" s="72" t="s">
        <v>493</v>
      </c>
      <c r="E178" s="72" t="s">
        <v>67</v>
      </c>
      <c r="F178" s="72" t="s">
        <v>842</v>
      </c>
      <c r="G178" s="89" t="s">
        <v>11</v>
      </c>
      <c r="H178" s="89" t="s">
        <v>41</v>
      </c>
      <c r="I178" s="89" t="s">
        <v>42</v>
      </c>
      <c r="J178" s="89" t="s">
        <v>43</v>
      </c>
      <c r="K178" s="90" t="s">
        <v>44</v>
      </c>
    </row>
    <row r="179" spans="2:11" ht="45">
      <c r="B179" s="47" t="s">
        <v>812</v>
      </c>
      <c r="C179" s="51" t="s">
        <v>581</v>
      </c>
      <c r="D179" s="51" t="s">
        <v>1316</v>
      </c>
      <c r="E179" s="51" t="s">
        <v>1317</v>
      </c>
      <c r="F179" s="43" t="s">
        <v>1109</v>
      </c>
      <c r="G179" s="51" t="s">
        <v>1318</v>
      </c>
      <c r="H179" s="51" t="s">
        <v>1319</v>
      </c>
      <c r="I179" s="51" t="s">
        <v>1320</v>
      </c>
      <c r="J179" s="51" t="s">
        <v>615</v>
      </c>
      <c r="K179" s="192" t="s">
        <v>579</v>
      </c>
    </row>
    <row r="180" spans="2:11" ht="45">
      <c r="B180" s="47" t="s">
        <v>813</v>
      </c>
      <c r="C180" s="51" t="s">
        <v>581</v>
      </c>
      <c r="D180" s="51" t="s">
        <v>1321</v>
      </c>
      <c r="E180" s="51" t="s">
        <v>1322</v>
      </c>
      <c r="F180" s="43" t="s">
        <v>1109</v>
      </c>
      <c r="G180" s="51" t="s">
        <v>1323</v>
      </c>
      <c r="H180" s="51" t="s">
        <v>1324</v>
      </c>
      <c r="I180" s="51" t="s">
        <v>581</v>
      </c>
      <c r="J180" s="51" t="s">
        <v>1136</v>
      </c>
      <c r="K180" s="192" t="s">
        <v>579</v>
      </c>
    </row>
    <row r="181" spans="2:11" ht="45.75" thickBot="1">
      <c r="B181" s="52" t="s">
        <v>814</v>
      </c>
      <c r="C181" s="159" t="s">
        <v>581</v>
      </c>
      <c r="D181" s="159" t="s">
        <v>1325</v>
      </c>
      <c r="E181" s="159" t="s">
        <v>1326</v>
      </c>
      <c r="F181" s="54" t="s">
        <v>1109</v>
      </c>
      <c r="G181" s="159" t="s">
        <v>1327</v>
      </c>
      <c r="H181" s="159" t="s">
        <v>1328</v>
      </c>
      <c r="I181" s="159" t="s">
        <v>581</v>
      </c>
      <c r="J181" s="159" t="s">
        <v>1136</v>
      </c>
      <c r="K181" s="193" t="s">
        <v>579</v>
      </c>
    </row>
    <row r="182" spans="2:11" ht="30">
      <c r="B182" s="96" t="s">
        <v>815</v>
      </c>
      <c r="C182" s="83"/>
      <c r="D182" s="83"/>
      <c r="E182" s="83"/>
      <c r="F182" s="83"/>
      <c r="G182" s="83"/>
      <c r="H182" s="83"/>
      <c r="I182" s="83"/>
      <c r="J182" s="83"/>
      <c r="K182" s="84"/>
    </row>
    <row r="183" spans="2:11">
      <c r="B183" s="60"/>
      <c r="C183" s="59"/>
      <c r="D183" s="59"/>
      <c r="E183" s="59"/>
      <c r="F183" s="59"/>
      <c r="G183" s="59"/>
      <c r="H183" s="59"/>
      <c r="I183" s="59"/>
      <c r="J183" s="59"/>
      <c r="K183" s="77"/>
    </row>
    <row r="184" spans="2:11" ht="22.5">
      <c r="B184" s="97" t="s">
        <v>816</v>
      </c>
      <c r="C184" s="86"/>
      <c r="D184" s="86"/>
      <c r="E184" s="86"/>
      <c r="F184" s="86"/>
      <c r="G184" s="86"/>
      <c r="H184" s="86"/>
      <c r="I184" s="86"/>
      <c r="J184" s="86"/>
      <c r="K184" s="87"/>
    </row>
    <row r="185" spans="2:11">
      <c r="B185" s="60"/>
      <c r="C185" s="59"/>
      <c r="D185" s="59"/>
      <c r="E185" s="59"/>
      <c r="F185" s="59"/>
      <c r="G185" s="59"/>
      <c r="H185" s="59"/>
      <c r="I185" s="59"/>
      <c r="J185" s="59"/>
      <c r="K185" s="77"/>
    </row>
    <row r="186" spans="2:11">
      <c r="B186" s="88" t="s">
        <v>572</v>
      </c>
      <c r="C186" s="72" t="s">
        <v>39</v>
      </c>
      <c r="D186" s="72" t="s">
        <v>493</v>
      </c>
      <c r="E186" s="72" t="s">
        <v>67</v>
      </c>
      <c r="F186" s="72" t="s">
        <v>842</v>
      </c>
      <c r="G186" s="89" t="s">
        <v>11</v>
      </c>
      <c r="H186" s="89" t="s">
        <v>41</v>
      </c>
      <c r="I186" s="89" t="s">
        <v>42</v>
      </c>
      <c r="J186" s="89" t="s">
        <v>43</v>
      </c>
      <c r="K186" s="90" t="s">
        <v>44</v>
      </c>
    </row>
    <row r="187" spans="2:11" ht="60">
      <c r="B187" s="47" t="s">
        <v>817</v>
      </c>
      <c r="C187" s="51" t="s">
        <v>581</v>
      </c>
      <c r="D187" s="51" t="s">
        <v>1329</v>
      </c>
      <c r="E187" s="51" t="s">
        <v>1330</v>
      </c>
      <c r="F187" s="43" t="s">
        <v>1109</v>
      </c>
      <c r="G187" s="51" t="s">
        <v>1331</v>
      </c>
      <c r="H187" s="51" t="s">
        <v>1332</v>
      </c>
      <c r="I187" s="51" t="s">
        <v>581</v>
      </c>
      <c r="J187" s="51" t="s">
        <v>1136</v>
      </c>
      <c r="K187" s="192" t="s">
        <v>579</v>
      </c>
    </row>
    <row r="188" spans="2:11" ht="60">
      <c r="B188" s="47" t="s">
        <v>818</v>
      </c>
      <c r="C188" s="51" t="s">
        <v>581</v>
      </c>
      <c r="D188" s="51" t="s">
        <v>1333</v>
      </c>
      <c r="E188" s="51" t="s">
        <v>1334</v>
      </c>
      <c r="F188" s="43" t="s">
        <v>1109</v>
      </c>
      <c r="G188" s="51" t="s">
        <v>1335</v>
      </c>
      <c r="H188" s="51" t="s">
        <v>1336</v>
      </c>
      <c r="I188" s="51" t="s">
        <v>581</v>
      </c>
      <c r="J188" s="51" t="s">
        <v>578</v>
      </c>
      <c r="K188" s="192" t="s">
        <v>579</v>
      </c>
    </row>
    <row r="189" spans="2:11" ht="45">
      <c r="B189" s="47" t="s">
        <v>819</v>
      </c>
      <c r="C189" s="51" t="s">
        <v>707</v>
      </c>
      <c r="D189" s="51" t="s">
        <v>1337</v>
      </c>
      <c r="E189" s="51" t="s">
        <v>1338</v>
      </c>
      <c r="F189" s="43" t="s">
        <v>1109</v>
      </c>
      <c r="G189" s="51" t="s">
        <v>1339</v>
      </c>
      <c r="H189" s="51" t="s">
        <v>1340</v>
      </c>
      <c r="I189" s="51" t="s">
        <v>707</v>
      </c>
      <c r="J189" s="51" t="s">
        <v>1204</v>
      </c>
      <c r="K189" s="192" t="s">
        <v>579</v>
      </c>
    </row>
    <row r="190" spans="2:11">
      <c r="B190" s="21" t="s">
        <v>1396</v>
      </c>
      <c r="C190" s="59"/>
      <c r="D190" s="59"/>
      <c r="E190" s="59"/>
      <c r="F190" s="59"/>
      <c r="G190" s="59"/>
      <c r="H190" s="59"/>
      <c r="I190" s="59"/>
      <c r="J190" s="59"/>
      <c r="K190" s="77"/>
    </row>
    <row r="191" spans="2:11">
      <c r="B191" s="194" t="s">
        <v>1341</v>
      </c>
      <c r="C191" s="195" t="s">
        <v>1342</v>
      </c>
      <c r="D191" s="195" t="s">
        <v>41</v>
      </c>
      <c r="E191" s="59"/>
      <c r="F191" s="59"/>
      <c r="G191" s="59"/>
      <c r="H191" s="59"/>
      <c r="I191" s="59"/>
      <c r="J191" s="59"/>
      <c r="K191" s="77"/>
    </row>
    <row r="192" spans="2:11" ht="30">
      <c r="B192" s="196" t="s">
        <v>1343</v>
      </c>
      <c r="C192" s="51" t="s">
        <v>1344</v>
      </c>
      <c r="D192" s="51" t="s">
        <v>1345</v>
      </c>
      <c r="E192" s="59"/>
      <c r="F192" s="59"/>
      <c r="G192" s="59"/>
      <c r="H192" s="59"/>
      <c r="I192" s="59"/>
      <c r="J192" s="59"/>
      <c r="K192" s="77"/>
    </row>
    <row r="193" spans="2:11">
      <c r="B193" s="196" t="s">
        <v>1346</v>
      </c>
      <c r="C193" s="51" t="s">
        <v>1347</v>
      </c>
      <c r="D193" s="51" t="s">
        <v>1348</v>
      </c>
      <c r="E193" s="59"/>
      <c r="F193" s="59"/>
      <c r="G193" s="59"/>
      <c r="H193" s="59"/>
      <c r="I193" s="59"/>
      <c r="J193" s="59"/>
      <c r="K193" s="77"/>
    </row>
    <row r="194" spans="2:11" ht="30">
      <c r="B194" s="196" t="s">
        <v>1349</v>
      </c>
      <c r="C194" s="51" t="s">
        <v>1350</v>
      </c>
      <c r="D194" s="51" t="s">
        <v>1351</v>
      </c>
      <c r="E194" s="59"/>
      <c r="F194" s="59"/>
      <c r="G194" s="59"/>
      <c r="H194" s="59"/>
      <c r="I194" s="59"/>
      <c r="J194" s="59"/>
      <c r="K194" s="77"/>
    </row>
    <row r="195" spans="2:11" ht="30">
      <c r="B195" s="196" t="s">
        <v>1352</v>
      </c>
      <c r="C195" s="51" t="s">
        <v>1353</v>
      </c>
      <c r="D195" s="51" t="s">
        <v>1354</v>
      </c>
      <c r="E195" s="59"/>
      <c r="F195" s="59"/>
      <c r="G195" s="59"/>
      <c r="H195" s="59"/>
      <c r="I195" s="59"/>
      <c r="J195" s="59"/>
      <c r="K195" s="77"/>
    </row>
    <row r="196" spans="2:11">
      <c r="B196" s="196" t="s">
        <v>1355</v>
      </c>
      <c r="C196" s="51" t="s">
        <v>1356</v>
      </c>
      <c r="D196" s="51" t="s">
        <v>1357</v>
      </c>
      <c r="E196" s="59"/>
      <c r="F196" s="59"/>
      <c r="G196" s="59"/>
      <c r="H196" s="59"/>
      <c r="I196" s="59"/>
      <c r="J196" s="59"/>
      <c r="K196" s="77"/>
    </row>
    <row r="197" spans="2:11" ht="30">
      <c r="B197" s="196" t="s">
        <v>1358</v>
      </c>
      <c r="C197" s="51" t="s">
        <v>1359</v>
      </c>
      <c r="D197" s="51" t="s">
        <v>1360</v>
      </c>
      <c r="E197" s="59"/>
      <c r="F197" s="59"/>
      <c r="G197" s="59"/>
      <c r="H197" s="59"/>
      <c r="I197" s="59"/>
      <c r="J197" s="59"/>
      <c r="K197" s="77"/>
    </row>
    <row r="198" spans="2:11" ht="30">
      <c r="B198" s="196" t="s">
        <v>1361</v>
      </c>
      <c r="C198" s="51" t="s">
        <v>747</v>
      </c>
      <c r="D198" s="51" t="s">
        <v>1362</v>
      </c>
      <c r="E198" s="59"/>
      <c r="F198" s="59"/>
      <c r="G198" s="59"/>
      <c r="H198" s="59"/>
      <c r="I198" s="59"/>
      <c r="J198" s="59"/>
      <c r="K198" s="77"/>
    </row>
    <row r="199" spans="2:11">
      <c r="B199" s="196" t="s">
        <v>1363</v>
      </c>
      <c r="C199" s="51" t="s">
        <v>1364</v>
      </c>
      <c r="D199" s="51" t="s">
        <v>1365</v>
      </c>
      <c r="E199" s="59"/>
      <c r="F199" s="59"/>
      <c r="G199" s="59"/>
      <c r="H199" s="59"/>
      <c r="I199" s="59"/>
      <c r="J199" s="59"/>
      <c r="K199" s="77"/>
    </row>
    <row r="200" spans="2:11">
      <c r="B200" s="196" t="s">
        <v>1366</v>
      </c>
      <c r="C200" s="51" t="s">
        <v>1367</v>
      </c>
      <c r="D200" s="51" t="s">
        <v>1368</v>
      </c>
      <c r="E200" s="59"/>
      <c r="F200" s="59"/>
      <c r="G200" s="59"/>
      <c r="H200" s="59"/>
      <c r="I200" s="59"/>
      <c r="J200" s="59"/>
      <c r="K200" s="77"/>
    </row>
    <row r="201" spans="2:11" ht="30">
      <c r="B201" s="196" t="s">
        <v>1369</v>
      </c>
      <c r="C201" s="51" t="s">
        <v>1370</v>
      </c>
      <c r="D201" s="51" t="s">
        <v>1371</v>
      </c>
      <c r="E201" s="59"/>
      <c r="F201" s="59"/>
      <c r="G201" s="59"/>
      <c r="H201" s="59"/>
      <c r="I201" s="59"/>
      <c r="J201" s="59"/>
      <c r="K201" s="77"/>
    </row>
    <row r="202" spans="2:11" ht="22.5">
      <c r="B202" s="97" t="s">
        <v>820</v>
      </c>
      <c r="C202" s="86"/>
      <c r="D202" s="86"/>
      <c r="E202" s="86"/>
      <c r="F202" s="86"/>
      <c r="G202" s="86"/>
      <c r="H202" s="86"/>
      <c r="I202" s="86"/>
      <c r="J202" s="86"/>
      <c r="K202" s="87"/>
    </row>
    <row r="203" spans="2:11">
      <c r="B203" s="60"/>
      <c r="C203" s="59"/>
      <c r="D203" s="59"/>
      <c r="E203" s="59"/>
      <c r="F203" s="59"/>
      <c r="G203" s="59"/>
      <c r="H203" s="59"/>
      <c r="I203" s="59"/>
      <c r="J203" s="59"/>
      <c r="K203" s="77"/>
    </row>
    <row r="204" spans="2:11">
      <c r="B204" s="88" t="s">
        <v>572</v>
      </c>
      <c r="C204" s="72" t="s">
        <v>39</v>
      </c>
      <c r="D204" s="72" t="s">
        <v>493</v>
      </c>
      <c r="E204" s="72" t="s">
        <v>67</v>
      </c>
      <c r="F204" s="72" t="s">
        <v>842</v>
      </c>
      <c r="G204" s="89" t="s">
        <v>11</v>
      </c>
      <c r="H204" s="89" t="s">
        <v>41</v>
      </c>
      <c r="I204" s="89" t="s">
        <v>42</v>
      </c>
      <c r="J204" s="89" t="s">
        <v>43</v>
      </c>
      <c r="K204" s="90" t="s">
        <v>44</v>
      </c>
    </row>
    <row r="205" spans="2:11" ht="30">
      <c r="B205" s="47" t="s">
        <v>821</v>
      </c>
      <c r="C205" s="51" t="s">
        <v>53</v>
      </c>
      <c r="D205" s="51" t="s">
        <v>1372</v>
      </c>
      <c r="E205" s="51" t="s">
        <v>1373</v>
      </c>
      <c r="F205" s="43" t="s">
        <v>1109</v>
      </c>
      <c r="G205" s="51" t="s">
        <v>1374</v>
      </c>
      <c r="H205" s="51" t="s">
        <v>1375</v>
      </c>
      <c r="I205" s="51" t="s">
        <v>53</v>
      </c>
      <c r="J205" s="51" t="s">
        <v>615</v>
      </c>
      <c r="K205" s="192" t="s">
        <v>579</v>
      </c>
    </row>
    <row r="206" spans="2:11" ht="45">
      <c r="B206" s="47" t="s">
        <v>822</v>
      </c>
      <c r="C206" s="51" t="s">
        <v>53</v>
      </c>
      <c r="D206" s="51" t="s">
        <v>1376</v>
      </c>
      <c r="E206" s="51" t="s">
        <v>1377</v>
      </c>
      <c r="F206" s="43" t="s">
        <v>1109</v>
      </c>
      <c r="G206" s="51" t="s">
        <v>1378</v>
      </c>
      <c r="H206" s="51" t="s">
        <v>1379</v>
      </c>
      <c r="I206" s="51" t="s">
        <v>153</v>
      </c>
      <c r="J206" s="51" t="s">
        <v>615</v>
      </c>
      <c r="K206" s="192" t="s">
        <v>579</v>
      </c>
    </row>
    <row r="207" spans="2:11" ht="45">
      <c r="B207" s="47" t="s">
        <v>823</v>
      </c>
      <c r="C207" s="51" t="s">
        <v>53</v>
      </c>
      <c r="D207" s="51" t="s">
        <v>1380</v>
      </c>
      <c r="E207" s="51" t="s">
        <v>1381</v>
      </c>
      <c r="F207" s="43" t="s">
        <v>1109</v>
      </c>
      <c r="G207" s="51" t="s">
        <v>1382</v>
      </c>
      <c r="H207" s="51" t="s">
        <v>1383</v>
      </c>
      <c r="I207" s="51" t="s">
        <v>53</v>
      </c>
      <c r="J207" s="51" t="s">
        <v>578</v>
      </c>
      <c r="K207" s="192" t="s">
        <v>579</v>
      </c>
    </row>
    <row r="208" spans="2:11" ht="22.5">
      <c r="B208" s="50" t="s">
        <v>824</v>
      </c>
      <c r="C208" s="59"/>
      <c r="D208" s="59"/>
      <c r="E208" s="59"/>
      <c r="F208" s="59"/>
      <c r="G208" s="59"/>
      <c r="H208" s="59"/>
      <c r="I208" s="59"/>
      <c r="J208" s="59"/>
      <c r="K208" s="77"/>
    </row>
    <row r="209" spans="2:11">
      <c r="B209" s="60"/>
      <c r="C209" s="59"/>
      <c r="D209" s="59"/>
      <c r="E209" s="59"/>
      <c r="F209" s="59"/>
      <c r="G209" s="59"/>
      <c r="H209" s="59"/>
      <c r="I209" s="59"/>
      <c r="J209" s="59"/>
      <c r="K209" s="77"/>
    </row>
    <row r="210" spans="2:11">
      <c r="B210" s="88" t="s">
        <v>572</v>
      </c>
      <c r="C210" s="72" t="s">
        <v>39</v>
      </c>
      <c r="D210" s="72" t="s">
        <v>493</v>
      </c>
      <c r="E210" s="72" t="s">
        <v>67</v>
      </c>
      <c r="F210" s="72" t="s">
        <v>842</v>
      </c>
      <c r="G210" s="89" t="s">
        <v>11</v>
      </c>
      <c r="H210" s="89" t="s">
        <v>41</v>
      </c>
      <c r="I210" s="89" t="s">
        <v>42</v>
      </c>
      <c r="J210" s="89" t="s">
        <v>43</v>
      </c>
      <c r="K210" s="90" t="s">
        <v>44</v>
      </c>
    </row>
    <row r="211" spans="2:11" ht="45">
      <c r="B211" s="47" t="s">
        <v>825</v>
      </c>
      <c r="C211" s="51" t="s">
        <v>62</v>
      </c>
      <c r="D211" s="51" t="s">
        <v>1384</v>
      </c>
      <c r="E211" s="51" t="s">
        <v>1385</v>
      </c>
      <c r="F211" s="43" t="s">
        <v>1109</v>
      </c>
      <c r="G211" s="51" t="s">
        <v>1386</v>
      </c>
      <c r="H211" s="51" t="s">
        <v>1387</v>
      </c>
      <c r="I211" s="51" t="s">
        <v>62</v>
      </c>
      <c r="J211" s="51" t="s">
        <v>578</v>
      </c>
      <c r="K211" s="192" t="s">
        <v>579</v>
      </c>
    </row>
    <row r="212" spans="2:11" ht="45">
      <c r="B212" s="47" t="s">
        <v>826</v>
      </c>
      <c r="C212" s="51" t="s">
        <v>46</v>
      </c>
      <c r="D212" s="51" t="s">
        <v>1388</v>
      </c>
      <c r="E212" s="51" t="s">
        <v>1389</v>
      </c>
      <c r="F212" s="43" t="s">
        <v>1109</v>
      </c>
      <c r="G212" s="51" t="s">
        <v>1390</v>
      </c>
      <c r="H212" s="51" t="s">
        <v>1391</v>
      </c>
      <c r="I212" s="51" t="s">
        <v>62</v>
      </c>
      <c r="J212" s="51" t="s">
        <v>615</v>
      </c>
      <c r="K212" s="192" t="s">
        <v>579</v>
      </c>
    </row>
    <row r="213" spans="2:11" ht="45.75" thickBot="1">
      <c r="B213" s="52" t="s">
        <v>827</v>
      </c>
      <c r="C213" s="159" t="s">
        <v>46</v>
      </c>
      <c r="D213" s="159" t="s">
        <v>1392</v>
      </c>
      <c r="E213" s="159" t="s">
        <v>1393</v>
      </c>
      <c r="F213" s="54" t="s">
        <v>1109</v>
      </c>
      <c r="G213" s="159" t="s">
        <v>1394</v>
      </c>
      <c r="H213" s="159" t="s">
        <v>1395</v>
      </c>
      <c r="I213" s="159" t="s">
        <v>707</v>
      </c>
      <c r="J213" s="159" t="s">
        <v>1156</v>
      </c>
      <c r="K213" s="193" t="s">
        <v>579</v>
      </c>
    </row>
    <row r="214" spans="2:11" ht="30">
      <c r="B214" s="96" t="s">
        <v>828</v>
      </c>
      <c r="C214" s="83"/>
      <c r="D214" s="83"/>
      <c r="E214" s="83"/>
      <c r="F214" s="83"/>
      <c r="G214" s="83"/>
      <c r="H214" s="83"/>
      <c r="I214" s="83"/>
      <c r="J214" s="83"/>
      <c r="K214" s="84"/>
    </row>
    <row r="215" spans="2:11">
      <c r="B215" s="60"/>
      <c r="C215" s="59"/>
      <c r="D215" s="59"/>
      <c r="E215" s="59"/>
      <c r="F215" s="59"/>
      <c r="G215" s="59"/>
      <c r="H215" s="59"/>
      <c r="I215" s="59"/>
      <c r="J215" s="59"/>
      <c r="K215" s="77"/>
    </row>
    <row r="216" spans="2:11" ht="22.5">
      <c r="B216" s="97" t="s">
        <v>829</v>
      </c>
      <c r="C216" s="86"/>
      <c r="D216" s="86"/>
      <c r="E216" s="86"/>
      <c r="F216" s="86"/>
      <c r="G216" s="86"/>
      <c r="H216" s="86"/>
      <c r="I216" s="86"/>
      <c r="J216" s="86"/>
      <c r="K216" s="87"/>
    </row>
    <row r="217" spans="2:11">
      <c r="B217" s="60"/>
      <c r="C217" s="59"/>
      <c r="D217" s="59"/>
      <c r="E217" s="59"/>
      <c r="F217" s="59"/>
      <c r="G217" s="59"/>
      <c r="H217" s="59"/>
      <c r="I217" s="59"/>
      <c r="J217" s="59"/>
      <c r="K217" s="77"/>
    </row>
    <row r="218" spans="2:11">
      <c r="B218" s="88" t="s">
        <v>572</v>
      </c>
      <c r="C218" s="72" t="s">
        <v>39</v>
      </c>
      <c r="D218" s="72" t="s">
        <v>493</v>
      </c>
      <c r="E218" s="72" t="s">
        <v>67</v>
      </c>
      <c r="F218" s="72" t="s">
        <v>842</v>
      </c>
      <c r="G218" s="89" t="s">
        <v>11</v>
      </c>
      <c r="H218" s="89" t="s">
        <v>41</v>
      </c>
      <c r="I218" s="89" t="s">
        <v>42</v>
      </c>
      <c r="J218" s="89" t="s">
        <v>43</v>
      </c>
      <c r="K218" s="90" t="s">
        <v>44</v>
      </c>
    </row>
    <row r="219" spans="2:11" ht="45">
      <c r="B219" s="47" t="s">
        <v>830</v>
      </c>
      <c r="C219" s="51" t="s">
        <v>707</v>
      </c>
      <c r="D219" s="51" t="s">
        <v>1397</v>
      </c>
      <c r="E219" s="51" t="s">
        <v>1398</v>
      </c>
      <c r="F219" s="43" t="s">
        <v>1109</v>
      </c>
      <c r="G219" s="51" t="s">
        <v>1399</v>
      </c>
      <c r="H219" s="51" t="s">
        <v>1400</v>
      </c>
      <c r="I219" s="51" t="s">
        <v>581</v>
      </c>
      <c r="J219" s="51" t="s">
        <v>615</v>
      </c>
      <c r="K219" s="192" t="s">
        <v>579</v>
      </c>
    </row>
    <row r="220" spans="2:11" ht="45">
      <c r="B220" s="47" t="s">
        <v>831</v>
      </c>
      <c r="C220" s="51" t="s">
        <v>581</v>
      </c>
      <c r="D220" s="51" t="s">
        <v>1401</v>
      </c>
      <c r="E220" s="51" t="s">
        <v>1402</v>
      </c>
      <c r="F220" s="43" t="s">
        <v>1109</v>
      </c>
      <c r="G220" s="51" t="s">
        <v>1403</v>
      </c>
      <c r="H220" s="51" t="s">
        <v>1404</v>
      </c>
      <c r="I220" s="51" t="s">
        <v>581</v>
      </c>
      <c r="J220" s="51" t="s">
        <v>1136</v>
      </c>
      <c r="K220" s="192" t="s">
        <v>579</v>
      </c>
    </row>
    <row r="221" spans="2:11" ht="22.5">
      <c r="B221" s="97" t="s">
        <v>832</v>
      </c>
      <c r="C221" s="86"/>
      <c r="D221" s="86"/>
      <c r="E221" s="86"/>
      <c r="F221" s="86"/>
      <c r="G221" s="86"/>
      <c r="H221" s="86"/>
      <c r="I221" s="86"/>
      <c r="J221" s="86"/>
      <c r="K221" s="87"/>
    </row>
    <row r="222" spans="2:11">
      <c r="B222" s="60"/>
      <c r="C222" s="59"/>
      <c r="D222" s="59"/>
      <c r="E222" s="59"/>
      <c r="F222" s="59"/>
      <c r="G222" s="59"/>
      <c r="H222" s="59"/>
      <c r="I222" s="59"/>
      <c r="J222" s="59"/>
      <c r="K222" s="77"/>
    </row>
    <row r="223" spans="2:11">
      <c r="B223" s="88" t="s">
        <v>572</v>
      </c>
      <c r="C223" s="72" t="s">
        <v>39</v>
      </c>
      <c r="D223" s="72" t="s">
        <v>493</v>
      </c>
      <c r="E223" s="72" t="s">
        <v>67</v>
      </c>
      <c r="F223" s="72" t="s">
        <v>842</v>
      </c>
      <c r="G223" s="89" t="s">
        <v>11</v>
      </c>
      <c r="H223" s="89" t="s">
        <v>41</v>
      </c>
      <c r="I223" s="89" t="s">
        <v>42</v>
      </c>
      <c r="J223" s="89" t="s">
        <v>43</v>
      </c>
      <c r="K223" s="90" t="s">
        <v>44</v>
      </c>
    </row>
    <row r="224" spans="2:11" ht="45">
      <c r="B224" s="47" t="s">
        <v>833</v>
      </c>
      <c r="C224" s="51" t="s">
        <v>581</v>
      </c>
      <c r="D224" s="51" t="s">
        <v>1405</v>
      </c>
      <c r="E224" s="51" t="s">
        <v>1406</v>
      </c>
      <c r="F224" s="43" t="s">
        <v>1109</v>
      </c>
      <c r="G224" s="51" t="s">
        <v>1407</v>
      </c>
      <c r="H224" s="51" t="s">
        <v>1408</v>
      </c>
      <c r="I224" s="51" t="s">
        <v>581</v>
      </c>
      <c r="J224" s="51" t="s">
        <v>1136</v>
      </c>
      <c r="K224" s="192" t="s">
        <v>579</v>
      </c>
    </row>
    <row r="225" spans="2:11" ht="45">
      <c r="B225" s="47" t="s">
        <v>834</v>
      </c>
      <c r="C225" s="51" t="s">
        <v>711</v>
      </c>
      <c r="D225" s="51" t="s">
        <v>1409</v>
      </c>
      <c r="E225" s="51" t="s">
        <v>1410</v>
      </c>
      <c r="F225" s="43" t="s">
        <v>1109</v>
      </c>
      <c r="G225" s="51" t="s">
        <v>1411</v>
      </c>
      <c r="H225" s="51" t="s">
        <v>1412</v>
      </c>
      <c r="I225" s="51" t="s">
        <v>53</v>
      </c>
      <c r="J225" s="51" t="s">
        <v>578</v>
      </c>
      <c r="K225" s="192" t="s">
        <v>579</v>
      </c>
    </row>
    <row r="226" spans="2:11" ht="45">
      <c r="B226" s="47" t="s">
        <v>835</v>
      </c>
      <c r="C226" s="51" t="s">
        <v>53</v>
      </c>
      <c r="D226" s="51" t="s">
        <v>1413</v>
      </c>
      <c r="E226" s="51" t="s">
        <v>1414</v>
      </c>
      <c r="F226" s="43" t="s">
        <v>1109</v>
      </c>
      <c r="G226" s="51" t="s">
        <v>1415</v>
      </c>
      <c r="H226" s="51" t="s">
        <v>1416</v>
      </c>
      <c r="I226" s="51" t="s">
        <v>53</v>
      </c>
      <c r="J226" s="51" t="s">
        <v>578</v>
      </c>
      <c r="K226" s="192" t="s">
        <v>579</v>
      </c>
    </row>
    <row r="227" spans="2:11" ht="22.5">
      <c r="B227" s="97" t="s">
        <v>836</v>
      </c>
      <c r="C227" s="86"/>
      <c r="D227" s="86"/>
      <c r="E227" s="86"/>
      <c r="F227" s="86"/>
      <c r="G227" s="86"/>
      <c r="H227" s="86"/>
      <c r="I227" s="86"/>
      <c r="J227" s="86"/>
      <c r="K227" s="87"/>
    </row>
    <row r="228" spans="2:11">
      <c r="B228" s="60"/>
      <c r="C228" s="59"/>
      <c r="D228" s="59"/>
      <c r="E228" s="59"/>
      <c r="F228" s="59"/>
      <c r="G228" s="59"/>
      <c r="H228" s="59"/>
      <c r="I228" s="59"/>
      <c r="J228" s="59"/>
      <c r="K228" s="77"/>
    </row>
    <row r="229" spans="2:11">
      <c r="B229" s="88" t="s">
        <v>572</v>
      </c>
      <c r="C229" s="72" t="s">
        <v>39</v>
      </c>
      <c r="D229" s="72" t="s">
        <v>493</v>
      </c>
      <c r="E229" s="72" t="s">
        <v>67</v>
      </c>
      <c r="F229" s="36" t="s">
        <v>842</v>
      </c>
      <c r="G229" s="89" t="s">
        <v>11</v>
      </c>
      <c r="H229" s="89" t="s">
        <v>41</v>
      </c>
      <c r="I229" s="89" t="s">
        <v>42</v>
      </c>
      <c r="J229" s="89" t="s">
        <v>43</v>
      </c>
      <c r="K229" s="90" t="s">
        <v>44</v>
      </c>
    </row>
    <row r="230" spans="2:11" ht="45">
      <c r="B230" s="47" t="s">
        <v>837</v>
      </c>
      <c r="C230" s="51" t="s">
        <v>707</v>
      </c>
      <c r="D230" s="51" t="s">
        <v>1417</v>
      </c>
      <c r="E230" s="51" t="s">
        <v>1418</v>
      </c>
      <c r="F230" s="43" t="s">
        <v>1109</v>
      </c>
      <c r="G230" s="51" t="s">
        <v>1419</v>
      </c>
      <c r="H230" s="51" t="s">
        <v>1420</v>
      </c>
      <c r="I230" s="51" t="s">
        <v>707</v>
      </c>
      <c r="J230" s="51" t="s">
        <v>615</v>
      </c>
      <c r="K230" s="192" t="s">
        <v>579</v>
      </c>
    </row>
    <row r="231" spans="2:11" ht="45">
      <c r="B231" s="47" t="s">
        <v>559</v>
      </c>
      <c r="C231" s="51" t="s">
        <v>581</v>
      </c>
      <c r="D231" s="51" t="s">
        <v>1421</v>
      </c>
      <c r="E231" s="51" t="s">
        <v>1422</v>
      </c>
      <c r="F231" s="43" t="s">
        <v>1109</v>
      </c>
      <c r="G231" s="51" t="s">
        <v>1423</v>
      </c>
      <c r="H231" s="51" t="s">
        <v>1424</v>
      </c>
      <c r="I231" s="51" t="s">
        <v>581</v>
      </c>
      <c r="J231" s="51" t="s">
        <v>1204</v>
      </c>
      <c r="K231" s="192" t="s">
        <v>579</v>
      </c>
    </row>
    <row r="232" spans="2:11" ht="60.75" thickBot="1">
      <c r="B232" s="52" t="s">
        <v>838</v>
      </c>
      <c r="C232" s="159" t="s">
        <v>156</v>
      </c>
      <c r="D232" s="159" t="s">
        <v>1425</v>
      </c>
      <c r="E232" s="159" t="s">
        <v>1426</v>
      </c>
      <c r="F232" s="54" t="s">
        <v>1109</v>
      </c>
      <c r="G232" s="159" t="s">
        <v>1427</v>
      </c>
      <c r="H232" s="159" t="s">
        <v>1428</v>
      </c>
      <c r="I232" s="159" t="s">
        <v>1234</v>
      </c>
      <c r="J232" s="159" t="s">
        <v>1156</v>
      </c>
      <c r="K232" s="193" t="s">
        <v>579</v>
      </c>
    </row>
  </sheetData>
  <dataValidations count="1">
    <dataValidation type="list" allowBlank="1" showInputMessage="1" showErrorMessage="1" sqref="F21:F23 F27:F30 F36:F38 F42:F44 F50:F55 F60:F64 F68:F72 F78:F84 F88:F94 F112:F117 F224:F226 F122:F124 F128:F130 F134:F135 F139:F140 F144:F146 F153:F155 F159:F161 F167:F169 F173:F175 F179:F181 F187:F189 F205:F207 F211:F213 F219:F220 F230:F232" xr:uid="{193DC0C9-DA2E-4F84-83B6-5EC632AE9A2C}">
      <formula1>$C$10:$C$12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</vt:lpstr>
      <vt:lpstr>AUDIT  - ISO 9001</vt:lpstr>
      <vt:lpstr>Limites du SM</vt:lpstr>
      <vt:lpstr>AUDIT - ISO56001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Meriem SNOUSSI</cp:lastModifiedBy>
  <cp:lastPrinted>2026-06-02T09:36:00Z</cp:lastPrinted>
  <dcterms:created xsi:type="dcterms:W3CDTF">2026-05-05T08:03:00Z</dcterms:created>
  <dcterms:modified xsi:type="dcterms:W3CDTF">2026-07-01T09:16:32Z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78F3CB72463C46979FF0422389996603_13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